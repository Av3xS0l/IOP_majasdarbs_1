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gust\Documents\RTU\IOP\MD1\"/>
    </mc:Choice>
  </mc:AlternateContent>
  <xr:revisionPtr revIDLastSave="0" documentId="13_ncr:1_{D989C0C1-8756-4B30-869B-C41E3F0C4C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kti" sheetId="1" r:id="rId1"/>
  </sheets>
  <definedNames>
    <definedName name="solver_adj" localSheetId="0" hidden="1">produkti!#REF!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produkti!#REF!</definedName>
    <definedName name="solver_lhs10" localSheetId="0" hidden="1">produkti!#REF!</definedName>
    <definedName name="solver_lhs11" localSheetId="0" hidden="1">produkti!#REF!</definedName>
    <definedName name="solver_lhs12" localSheetId="0" hidden="1">produkti!#REF!</definedName>
    <definedName name="solver_lhs2" localSheetId="0" hidden="1">produkti!#REF!</definedName>
    <definedName name="solver_lhs3" localSheetId="0" hidden="1">produkti!#REF!</definedName>
    <definedName name="solver_lhs4" localSheetId="0" hidden="1">produkti!#REF!</definedName>
    <definedName name="solver_lhs5" localSheetId="0" hidden="1">produkti!#REF!</definedName>
    <definedName name="solver_lhs6" localSheetId="0" hidden="1">produkti!#REF!</definedName>
    <definedName name="solver_lhs7" localSheetId="0" hidden="1">produkti!#REF!</definedName>
    <definedName name="solver_lhs8" localSheetId="0" hidden="1">produkti!#REF!</definedName>
    <definedName name="solver_lhs9" localSheetId="0" hidden="1">produkti!#REF!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12</definedName>
    <definedName name="solver_nwt" localSheetId="0" hidden="1">1</definedName>
    <definedName name="solver_opt" localSheetId="0" hidden="1">produkti!#REF!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10" localSheetId="0" hidden="1">3</definedName>
    <definedName name="solver_rel11" localSheetId="0" hidden="1">3</definedName>
    <definedName name="solver_rel12" localSheetId="0" hidden="1">3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produkti!$J$110</definedName>
    <definedName name="solver_rhs10" localSheetId="0" hidden="1">produkti!$G$110</definedName>
    <definedName name="solver_rhs11" localSheetId="0" hidden="1">produkti!$H$110</definedName>
    <definedName name="solver_rhs12" localSheetId="0" hidden="1">produkti!$I$110</definedName>
    <definedName name="solver_rhs2" localSheetId="0" hidden="1">produkti!$K$110</definedName>
    <definedName name="solver_rhs3" localSheetId="0" hidden="1">produkti!$L$110</definedName>
    <definedName name="solver_rhs4" localSheetId="0" hidden="1">produkti!$M$110</definedName>
    <definedName name="solver_rhs5" localSheetId="0" hidden="1">produkti!$N$110</definedName>
    <definedName name="solver_rhs6" localSheetId="0" hidden="1">produkti!$B$110</definedName>
    <definedName name="solver_rhs7" localSheetId="0" hidden="1">produkti!$C$110</definedName>
    <definedName name="solver_rhs8" localSheetId="0" hidden="1">produkti!$D$110</definedName>
    <definedName name="solver_rhs9" localSheetId="0" hidden="1">produkti!$F$110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</calcChain>
</file>

<file path=xl/sharedStrings.xml><?xml version="1.0" encoding="utf-8"?>
<sst xmlns="http://schemas.openxmlformats.org/spreadsheetml/2006/main" count="127" uniqueCount="126">
  <si>
    <t>Uzturlīdzeklis</t>
  </si>
  <si>
    <t>Galveno vielu daudzums (%)</t>
  </si>
  <si>
    <t>100 g produkta enerģiskā vērtība</t>
  </si>
  <si>
    <t>Vitamīni (mg %)</t>
  </si>
  <si>
    <t>Minerālvielas (mg%)</t>
  </si>
  <si>
    <t>Cenas par 1 kg produkta</t>
  </si>
  <si>
    <t>Cenas par 100g produkta</t>
  </si>
  <si>
    <t>Olb.v</t>
  </si>
  <si>
    <t>Tauki</t>
  </si>
  <si>
    <t>Ogļh.</t>
  </si>
  <si>
    <t>kJ</t>
  </si>
  <si>
    <t>kcal</t>
  </si>
  <si>
    <t>A</t>
  </si>
  <si>
    <r>
      <t>B</t>
    </r>
    <r>
      <rPr>
        <b/>
        <i/>
        <vertAlign val="subscript"/>
        <sz val="10"/>
        <rFont val="Arial"/>
        <family val="2"/>
      </rPr>
      <t>1</t>
    </r>
  </si>
  <si>
    <r>
      <t>B</t>
    </r>
    <r>
      <rPr>
        <b/>
        <i/>
        <vertAlign val="subscript"/>
        <sz val="10"/>
        <rFont val="Arial"/>
        <family val="2"/>
      </rPr>
      <t>2</t>
    </r>
  </si>
  <si>
    <t>PP</t>
  </si>
  <si>
    <t>C</t>
  </si>
  <si>
    <t>Ca</t>
  </si>
  <si>
    <t>P</t>
  </si>
  <si>
    <t>Fe</t>
  </si>
  <si>
    <t>Auzu putraimi</t>
  </si>
  <si>
    <t>Griķu putraimi</t>
  </si>
  <si>
    <t>Grūbas</t>
  </si>
  <si>
    <t>Kviešu milti</t>
  </si>
  <si>
    <t>Labi kviešu milti</t>
  </si>
  <si>
    <t>Kviešu maize</t>
  </si>
  <si>
    <t>Rudzu maize</t>
  </si>
  <si>
    <t>Makaroni</t>
  </si>
  <si>
    <t>Mannas putraimi</t>
  </si>
  <si>
    <t>Miežu putraimi</t>
  </si>
  <si>
    <t>Rīsi</t>
  </si>
  <si>
    <t>Rudzu milti</t>
  </si>
  <si>
    <t>Zirņi</t>
  </si>
  <si>
    <t>Galda bietes</t>
  </si>
  <si>
    <t>Burkāni</t>
  </si>
  <si>
    <t>Svaigi gurķi</t>
  </si>
  <si>
    <t>Skābēti gurķi</t>
  </si>
  <si>
    <t>Svaigi kāposti</t>
  </si>
  <si>
    <t>Skābēti kāposti</t>
  </si>
  <si>
    <t>Ziedkāposti</t>
  </si>
  <si>
    <t>Kartupeļi</t>
  </si>
  <si>
    <t>Ķirbji</t>
  </si>
  <si>
    <t>Loki</t>
  </si>
  <si>
    <t>Mārrutki</t>
  </si>
  <si>
    <t xml:space="preserve">Pētersīļi </t>
  </si>
  <si>
    <t>Puravi</t>
  </si>
  <si>
    <t>Redīsi</t>
  </si>
  <si>
    <t>Salāti</t>
  </si>
  <si>
    <t>Sīpoli</t>
  </si>
  <si>
    <t>Skābenes</t>
  </si>
  <si>
    <t>Spināti</t>
  </si>
  <si>
    <t>Tomāti</t>
  </si>
  <si>
    <t>Zaļie zirnīši</t>
  </si>
  <si>
    <t>Svaigi āboli</t>
  </si>
  <si>
    <t>Žāvēti āboli</t>
  </si>
  <si>
    <t>Apelsīni</t>
  </si>
  <si>
    <t>Žāvētas aprikozes</t>
  </si>
  <si>
    <t>Avenes</t>
  </si>
  <si>
    <t>Bumbieri</t>
  </si>
  <si>
    <t>Citroni</t>
  </si>
  <si>
    <t>Dzērvenes</t>
  </si>
  <si>
    <t>Ķirši</t>
  </si>
  <si>
    <t>Mandarīni</t>
  </si>
  <si>
    <t>Mellenes</t>
  </si>
  <si>
    <t>Svaigas plūmes</t>
  </si>
  <si>
    <t>Žāvētas plūmes</t>
  </si>
  <si>
    <t>Svaigas vīnogas</t>
  </si>
  <si>
    <t>Dārza zemenes</t>
  </si>
  <si>
    <t>Lazdu rieksti</t>
  </si>
  <si>
    <t>Saldās mandeles</t>
  </si>
  <si>
    <t>Valrieksti</t>
  </si>
  <si>
    <t>Zemesrieksti</t>
  </si>
  <si>
    <t>Cukurs</t>
  </si>
  <si>
    <t>Bišu medus</t>
  </si>
  <si>
    <t>Cepumi</t>
  </si>
  <si>
    <t>Halva</t>
  </si>
  <si>
    <t>Kakao pulveris</t>
  </si>
  <si>
    <t>Karameles</t>
  </si>
  <si>
    <t>Konfektes ar šokolādi</t>
  </si>
  <si>
    <t>Marmelāde</t>
  </si>
  <si>
    <t>Šokolāde</t>
  </si>
  <si>
    <t>Cūkas speķis</t>
  </si>
  <si>
    <t>Cūkas tauki</t>
  </si>
  <si>
    <t>Kombinētie tauki</t>
  </si>
  <si>
    <t>Liellopu tauki</t>
  </si>
  <si>
    <t>Margarīns</t>
  </si>
  <si>
    <t>Saulgriežu eļļa</t>
  </si>
  <si>
    <t>Govs piens</t>
  </si>
  <si>
    <t>Kazas piens</t>
  </si>
  <si>
    <t>Biezpiens (9% tauku)</t>
  </si>
  <si>
    <t>Vājpiena biezpiens</t>
  </si>
  <si>
    <t>Kefīrs</t>
  </si>
  <si>
    <t>Salds krējums</t>
  </si>
  <si>
    <t>Skābs krējums</t>
  </si>
  <si>
    <t>Saldējums</t>
  </si>
  <si>
    <t>Rūgušpiens</t>
  </si>
  <si>
    <t>Kausētais siers</t>
  </si>
  <si>
    <t>Nesālīts sviests</t>
  </si>
  <si>
    <t>Kausēts sviests</t>
  </si>
  <si>
    <t>Trekna cūkgaļa</t>
  </si>
  <si>
    <t>Liesa cūkgaļa</t>
  </si>
  <si>
    <t>Liellopu gaļa</t>
  </si>
  <si>
    <t>Pīles gaļa</t>
  </si>
  <si>
    <t>Teļa gaļa</t>
  </si>
  <si>
    <t>Tītara gaļa</t>
  </si>
  <si>
    <t>Truša gaļa</t>
  </si>
  <si>
    <t>Vistas gaļa</t>
  </si>
  <si>
    <t>Cīsiņi</t>
  </si>
  <si>
    <t>Cūkas aknas</t>
  </si>
  <si>
    <t>Vārītā desa</t>
  </si>
  <si>
    <t xml:space="preserve">Žāvētā desa </t>
  </si>
  <si>
    <t>Liellopu aknas</t>
  </si>
  <si>
    <t>Šķiņķis</t>
  </si>
  <si>
    <t>Vistas ola</t>
  </si>
  <si>
    <t>Olu pulveris</t>
  </si>
  <si>
    <t>Karpa</t>
  </si>
  <si>
    <t>Menca</t>
  </si>
  <si>
    <t>Zandarts</t>
  </si>
  <si>
    <t>Kaviārs</t>
  </si>
  <si>
    <t>Ķilavas</t>
  </si>
  <si>
    <t>Sālīts lasis</t>
  </si>
  <si>
    <t>Siļķe</t>
  </si>
  <si>
    <t>Šprotes</t>
  </si>
  <si>
    <t>Dienas norma</t>
  </si>
  <si>
    <t>1,5</t>
  </si>
  <si>
    <t>Čederas siers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</si>
</sst>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0" fillId="0" borderId="0" xfId="0" applyNumberFormat="1"/>
    <xf numFmtId="2" fontId="0" fillId="0" borderId="1" xfId="0" applyNumberFormat="1" applyBorder="1"/>
    <xf numFmtId="164" fontId="4" fillId="0" borderId="1" xfId="0" applyNumberFormat="1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0"/>
  <sheetViews>
    <sheetView tabSelected="1" topLeftCell="A31" workbookViewId="0">
      <pane xSplit="1" topLeftCell="B1" activePane="topRight" state="frozen"/>
      <selection pane="topRight" activeCell="A85" sqref="A85"/>
    </sheetView>
  </sheetViews>
  <sheetFormatPr defaultRowHeight="15" x14ac:dyDescent="0.25"/>
  <cols>
    <col min="1" max="1" width="18.5703125" customWidth="1"/>
    <col min="15" max="15" width="9.140625" style="4"/>
  </cols>
  <sheetData>
    <row r="1" spans="1:16" ht="15" customHeight="1" x14ac:dyDescent="0.25">
      <c r="A1" s="10" t="s">
        <v>0</v>
      </c>
      <c r="B1" s="13" t="s">
        <v>1</v>
      </c>
      <c r="C1" s="14"/>
      <c r="D1" s="15"/>
      <c r="E1" s="13" t="s">
        <v>2</v>
      </c>
      <c r="F1" s="15"/>
      <c r="G1" s="13" t="s">
        <v>3</v>
      </c>
      <c r="H1" s="14"/>
      <c r="I1" s="14"/>
      <c r="J1" s="14"/>
      <c r="K1" s="15"/>
      <c r="L1" s="13" t="s">
        <v>4</v>
      </c>
      <c r="M1" s="14"/>
      <c r="N1" s="15"/>
      <c r="O1" s="22" t="s">
        <v>5</v>
      </c>
      <c r="P1" s="7" t="s">
        <v>6</v>
      </c>
    </row>
    <row r="2" spans="1:16" x14ac:dyDescent="0.25">
      <c r="A2" s="11"/>
      <c r="B2" s="16"/>
      <c r="C2" s="17"/>
      <c r="D2" s="18"/>
      <c r="E2" s="16"/>
      <c r="F2" s="18"/>
      <c r="G2" s="16"/>
      <c r="H2" s="17"/>
      <c r="I2" s="17"/>
      <c r="J2" s="17"/>
      <c r="K2" s="18"/>
      <c r="L2" s="16"/>
      <c r="M2" s="17"/>
      <c r="N2" s="18"/>
      <c r="O2" s="23"/>
      <c r="P2" s="8"/>
    </row>
    <row r="3" spans="1:16" x14ac:dyDescent="0.25">
      <c r="A3" s="11"/>
      <c r="B3" s="16"/>
      <c r="C3" s="17"/>
      <c r="D3" s="18"/>
      <c r="E3" s="16"/>
      <c r="F3" s="18"/>
      <c r="G3" s="16"/>
      <c r="H3" s="17"/>
      <c r="I3" s="17"/>
      <c r="J3" s="17"/>
      <c r="K3" s="18"/>
      <c r="L3" s="16"/>
      <c r="M3" s="17"/>
      <c r="N3" s="18"/>
      <c r="O3" s="23"/>
      <c r="P3" s="8"/>
    </row>
    <row r="4" spans="1:16" x14ac:dyDescent="0.25">
      <c r="A4" s="11"/>
      <c r="B4" s="19"/>
      <c r="C4" s="20"/>
      <c r="D4" s="21"/>
      <c r="E4" s="19"/>
      <c r="F4" s="21"/>
      <c r="G4" s="19"/>
      <c r="H4" s="20"/>
      <c r="I4" s="20"/>
      <c r="J4" s="20"/>
      <c r="K4" s="21"/>
      <c r="L4" s="19"/>
      <c r="M4" s="20"/>
      <c r="N4" s="21"/>
      <c r="O4" s="23"/>
      <c r="P4" s="8"/>
    </row>
    <row r="5" spans="1:16" x14ac:dyDescent="0.25">
      <c r="A5" s="12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24"/>
      <c r="P5" s="9"/>
    </row>
    <row r="6" spans="1:16" x14ac:dyDescent="0.25">
      <c r="A6" s="2" t="s">
        <v>20</v>
      </c>
      <c r="B6" s="5">
        <v>13</v>
      </c>
      <c r="C6" s="5">
        <v>6.5</v>
      </c>
      <c r="D6" s="5">
        <v>61.1</v>
      </c>
      <c r="E6" s="5">
        <v>1590</v>
      </c>
      <c r="F6" s="5">
        <v>380</v>
      </c>
      <c r="G6" s="5">
        <v>0</v>
      </c>
      <c r="H6" s="5">
        <v>0.6</v>
      </c>
      <c r="I6" s="5">
        <v>0.14000000000000001</v>
      </c>
      <c r="J6" s="5">
        <v>0.98</v>
      </c>
      <c r="K6" s="5">
        <v>0</v>
      </c>
      <c r="L6" s="5">
        <v>75</v>
      </c>
      <c r="M6" s="5">
        <v>327</v>
      </c>
      <c r="N6" s="5">
        <v>4.3</v>
      </c>
      <c r="O6" s="5">
        <v>2.11</v>
      </c>
      <c r="P6" s="5">
        <f t="shared" ref="P6:P62" si="0">O6/10</f>
        <v>0.21099999999999999</v>
      </c>
    </row>
    <row r="7" spans="1:16" x14ac:dyDescent="0.25">
      <c r="A7" s="2" t="s">
        <v>21</v>
      </c>
      <c r="B7" s="5">
        <v>12.5</v>
      </c>
      <c r="C7" s="5">
        <v>2.5</v>
      </c>
      <c r="D7" s="5">
        <v>67.400000000000006</v>
      </c>
      <c r="E7" s="5">
        <v>1480</v>
      </c>
      <c r="F7" s="5">
        <v>354</v>
      </c>
      <c r="G7" s="5">
        <v>0</v>
      </c>
      <c r="H7" s="5">
        <v>0.51</v>
      </c>
      <c r="I7" s="5">
        <v>0.24</v>
      </c>
      <c r="J7" s="5">
        <v>4.3</v>
      </c>
      <c r="K7" s="5">
        <v>0</v>
      </c>
      <c r="L7" s="5">
        <v>56</v>
      </c>
      <c r="M7" s="5">
        <v>294</v>
      </c>
      <c r="N7" s="5">
        <v>1.8</v>
      </c>
      <c r="O7" s="5">
        <v>1.72</v>
      </c>
      <c r="P7" s="5">
        <f t="shared" si="0"/>
        <v>0.17199999999999999</v>
      </c>
    </row>
    <row r="8" spans="1:16" x14ac:dyDescent="0.25">
      <c r="A8" s="2" t="s">
        <v>22</v>
      </c>
      <c r="B8" s="5">
        <v>8.9</v>
      </c>
      <c r="C8" s="5">
        <v>1.2</v>
      </c>
      <c r="D8" s="5">
        <v>72.400000000000006</v>
      </c>
      <c r="E8" s="5">
        <v>1440</v>
      </c>
      <c r="F8" s="5">
        <v>345</v>
      </c>
      <c r="G8" s="5">
        <v>0</v>
      </c>
      <c r="H8" s="5">
        <v>0.3</v>
      </c>
      <c r="I8" s="5">
        <v>0.1</v>
      </c>
      <c r="J8" s="5">
        <v>2.5</v>
      </c>
      <c r="K8" s="5">
        <v>0</v>
      </c>
      <c r="L8" s="5">
        <v>42</v>
      </c>
      <c r="M8" s="5">
        <v>236</v>
      </c>
      <c r="N8" s="5">
        <v>2.1</v>
      </c>
      <c r="O8" s="5">
        <v>1.39</v>
      </c>
      <c r="P8" s="5">
        <f t="shared" si="0"/>
        <v>0.13899999999999998</v>
      </c>
    </row>
    <row r="9" spans="1:16" x14ac:dyDescent="0.25">
      <c r="A9" s="2" t="s">
        <v>23</v>
      </c>
      <c r="B9" s="5">
        <v>11.8</v>
      </c>
      <c r="C9" s="5">
        <v>1.5</v>
      </c>
      <c r="D9" s="5">
        <v>69.599999999999994</v>
      </c>
      <c r="E9" s="5">
        <v>1460</v>
      </c>
      <c r="F9" s="5">
        <v>348</v>
      </c>
      <c r="G9" s="5">
        <v>0</v>
      </c>
      <c r="H9" s="5">
        <v>0.45</v>
      </c>
      <c r="I9" s="5">
        <v>0.26</v>
      </c>
      <c r="J9" s="5">
        <v>5.3</v>
      </c>
      <c r="K9" s="5">
        <v>0</v>
      </c>
      <c r="L9" s="5">
        <v>40</v>
      </c>
      <c r="M9" s="5">
        <v>280</v>
      </c>
      <c r="N9" s="5">
        <v>3.3</v>
      </c>
      <c r="O9" s="5">
        <v>0.45</v>
      </c>
      <c r="P9" s="5">
        <f t="shared" si="0"/>
        <v>4.4999999999999998E-2</v>
      </c>
    </row>
    <row r="10" spans="1:16" x14ac:dyDescent="0.25">
      <c r="A10" s="2" t="s">
        <v>24</v>
      </c>
      <c r="B10" s="5">
        <v>10.8</v>
      </c>
      <c r="C10" s="5">
        <v>0.9</v>
      </c>
      <c r="D10" s="5">
        <v>73.599999999999994</v>
      </c>
      <c r="E10" s="5">
        <v>1480</v>
      </c>
      <c r="F10" s="5">
        <v>354</v>
      </c>
      <c r="G10" s="5">
        <v>0</v>
      </c>
      <c r="H10" s="5">
        <v>0.18</v>
      </c>
      <c r="I10" s="5">
        <v>0.13</v>
      </c>
      <c r="J10" s="5">
        <v>1</v>
      </c>
      <c r="K10" s="5">
        <v>0</v>
      </c>
      <c r="L10" s="5">
        <v>22</v>
      </c>
      <c r="M10" s="5">
        <v>92</v>
      </c>
      <c r="N10" s="5">
        <v>1.1000000000000001</v>
      </c>
      <c r="O10" s="5">
        <v>1.17</v>
      </c>
      <c r="P10" s="5">
        <f t="shared" si="0"/>
        <v>0.11699999999999999</v>
      </c>
    </row>
    <row r="11" spans="1:16" x14ac:dyDescent="0.25">
      <c r="A11" s="2" t="s">
        <v>25</v>
      </c>
      <c r="B11" s="5">
        <v>6.7</v>
      </c>
      <c r="C11" s="5">
        <v>0.7</v>
      </c>
      <c r="D11" s="5">
        <v>50.3</v>
      </c>
      <c r="E11" s="5">
        <v>1000</v>
      </c>
      <c r="F11" s="5">
        <v>240</v>
      </c>
      <c r="G11" s="5">
        <v>0</v>
      </c>
      <c r="H11" s="5">
        <v>0.1</v>
      </c>
      <c r="I11" s="5">
        <v>7.0000000000000007E-2</v>
      </c>
      <c r="J11" s="5">
        <v>0.67</v>
      </c>
      <c r="K11" s="5">
        <v>0</v>
      </c>
      <c r="L11" s="5">
        <v>20</v>
      </c>
      <c r="M11" s="5">
        <v>98</v>
      </c>
      <c r="N11" s="5">
        <v>1.8</v>
      </c>
      <c r="O11" s="5">
        <v>5.4</v>
      </c>
      <c r="P11" s="5">
        <f t="shared" si="0"/>
        <v>0.54</v>
      </c>
    </row>
    <row r="12" spans="1:16" x14ac:dyDescent="0.25">
      <c r="A12" s="2" t="s">
        <v>26</v>
      </c>
      <c r="B12" s="5">
        <v>5</v>
      </c>
      <c r="C12" s="5">
        <v>1.1000000000000001</v>
      </c>
      <c r="D12" s="5">
        <v>42.5</v>
      </c>
      <c r="E12" s="5">
        <v>850</v>
      </c>
      <c r="F12" s="5">
        <v>204</v>
      </c>
      <c r="G12" s="5">
        <v>0</v>
      </c>
      <c r="H12" s="5">
        <v>0.15</v>
      </c>
      <c r="I12" s="5">
        <v>0.13</v>
      </c>
      <c r="J12" s="5">
        <v>0.45</v>
      </c>
      <c r="K12" s="5">
        <v>0</v>
      </c>
      <c r="L12" s="5">
        <v>29</v>
      </c>
      <c r="M12" s="5">
        <v>200</v>
      </c>
      <c r="N12" s="5">
        <v>2</v>
      </c>
      <c r="O12" s="5">
        <v>1.83</v>
      </c>
      <c r="P12" s="5">
        <f t="shared" si="0"/>
        <v>0.183</v>
      </c>
    </row>
    <row r="13" spans="1:16" x14ac:dyDescent="0.25">
      <c r="A13" s="2" t="s">
        <v>27</v>
      </c>
      <c r="B13" s="5">
        <v>11</v>
      </c>
      <c r="C13" s="5">
        <v>0.9</v>
      </c>
      <c r="D13" s="5">
        <v>74.2</v>
      </c>
      <c r="E13" s="5">
        <v>1500</v>
      </c>
      <c r="F13" s="5">
        <v>358</v>
      </c>
      <c r="G13" s="5">
        <v>0</v>
      </c>
      <c r="H13" s="5">
        <v>0</v>
      </c>
      <c r="I13" s="5">
        <v>0.04</v>
      </c>
      <c r="J13" s="5">
        <v>1.1000000000000001</v>
      </c>
      <c r="K13" s="5">
        <v>0</v>
      </c>
      <c r="L13" s="5">
        <v>34</v>
      </c>
      <c r="M13" s="5">
        <v>97</v>
      </c>
      <c r="N13" s="5">
        <v>1.5</v>
      </c>
      <c r="O13" s="5">
        <v>1.25</v>
      </c>
      <c r="P13" s="5">
        <f t="shared" si="0"/>
        <v>0.125</v>
      </c>
    </row>
    <row r="14" spans="1:16" x14ac:dyDescent="0.25">
      <c r="A14" s="2" t="s">
        <v>28</v>
      </c>
      <c r="B14" s="5">
        <v>11.2</v>
      </c>
      <c r="C14" s="5">
        <v>0.8</v>
      </c>
      <c r="D14" s="5">
        <v>73.099999999999994</v>
      </c>
      <c r="E14" s="5">
        <v>1480</v>
      </c>
      <c r="F14" s="5">
        <v>354</v>
      </c>
      <c r="G14" s="5">
        <v>0</v>
      </c>
      <c r="H14" s="5">
        <v>0.1</v>
      </c>
      <c r="I14" s="5">
        <v>0.1</v>
      </c>
      <c r="J14" s="5">
        <v>0</v>
      </c>
      <c r="K14" s="5">
        <v>0</v>
      </c>
      <c r="L14" s="5">
        <v>41</v>
      </c>
      <c r="M14" s="5">
        <v>101</v>
      </c>
      <c r="N14" s="5">
        <v>1.6</v>
      </c>
      <c r="O14" s="5">
        <v>1.99</v>
      </c>
      <c r="P14" s="5">
        <f t="shared" si="0"/>
        <v>0.19900000000000001</v>
      </c>
    </row>
    <row r="15" spans="1:16" x14ac:dyDescent="0.25">
      <c r="A15" s="2" t="s">
        <v>29</v>
      </c>
      <c r="B15" s="5">
        <v>9.5</v>
      </c>
      <c r="C15" s="5">
        <v>1.5</v>
      </c>
      <c r="D15" s="5">
        <v>72</v>
      </c>
      <c r="E15" s="5">
        <v>1460</v>
      </c>
      <c r="F15" s="5">
        <v>348</v>
      </c>
      <c r="G15" s="5">
        <v>0</v>
      </c>
      <c r="H15" s="5">
        <v>0.2</v>
      </c>
      <c r="I15" s="5">
        <v>0</v>
      </c>
      <c r="J15" s="5">
        <v>0</v>
      </c>
      <c r="K15" s="5">
        <v>0</v>
      </c>
      <c r="L15" s="5">
        <v>42</v>
      </c>
      <c r="M15" s="5">
        <v>236</v>
      </c>
      <c r="N15" s="5">
        <v>2.1</v>
      </c>
      <c r="O15" s="5">
        <v>0.85</v>
      </c>
      <c r="P15" s="5">
        <f t="shared" si="0"/>
        <v>8.4999999999999992E-2</v>
      </c>
    </row>
    <row r="16" spans="1:16" x14ac:dyDescent="0.25">
      <c r="A16" s="2" t="s">
        <v>30</v>
      </c>
      <c r="B16" s="5">
        <v>7.6</v>
      </c>
      <c r="C16" s="5">
        <v>1</v>
      </c>
      <c r="D16" s="5">
        <v>75.8</v>
      </c>
      <c r="E16" s="5">
        <v>1470</v>
      </c>
      <c r="F16" s="5">
        <v>351</v>
      </c>
      <c r="G16" s="5">
        <v>0</v>
      </c>
      <c r="H16" s="5">
        <v>0</v>
      </c>
      <c r="I16" s="5">
        <v>0.03</v>
      </c>
      <c r="J16" s="5">
        <v>1.6</v>
      </c>
      <c r="K16" s="5">
        <v>0</v>
      </c>
      <c r="L16" s="5">
        <v>30</v>
      </c>
      <c r="M16" s="5">
        <v>104</v>
      </c>
      <c r="N16" s="5">
        <v>1.3</v>
      </c>
      <c r="O16" s="5">
        <v>1.89</v>
      </c>
      <c r="P16" s="5">
        <f t="shared" si="0"/>
        <v>0.189</v>
      </c>
    </row>
    <row r="17" spans="1:16" x14ac:dyDescent="0.25">
      <c r="A17" s="2" t="s">
        <v>31</v>
      </c>
      <c r="B17" s="5">
        <v>10.5</v>
      </c>
      <c r="C17" s="5">
        <v>1.6</v>
      </c>
      <c r="D17" s="5">
        <v>70.400000000000006</v>
      </c>
      <c r="E17" s="5">
        <v>1450</v>
      </c>
      <c r="F17" s="5">
        <v>347</v>
      </c>
      <c r="G17" s="5">
        <v>0</v>
      </c>
      <c r="H17" s="5">
        <v>0.33</v>
      </c>
      <c r="I17" s="5">
        <v>0.22</v>
      </c>
      <c r="J17" s="5">
        <v>1.1000000000000001</v>
      </c>
      <c r="K17" s="5">
        <v>0</v>
      </c>
      <c r="L17" s="5">
        <v>49</v>
      </c>
      <c r="M17" s="5">
        <v>263</v>
      </c>
      <c r="N17" s="5">
        <v>3.4</v>
      </c>
      <c r="O17" s="5">
        <v>0.99</v>
      </c>
      <c r="P17" s="5">
        <f t="shared" si="0"/>
        <v>9.9000000000000005E-2</v>
      </c>
    </row>
    <row r="18" spans="1:16" x14ac:dyDescent="0.25">
      <c r="A18" s="2" t="s">
        <v>32</v>
      </c>
      <c r="B18" s="5">
        <v>23.4</v>
      </c>
      <c r="C18" s="5">
        <v>2.4</v>
      </c>
      <c r="D18" s="5">
        <v>53.1</v>
      </c>
      <c r="E18" s="5">
        <v>1410</v>
      </c>
      <c r="F18" s="5">
        <v>336</v>
      </c>
      <c r="G18" s="5">
        <v>0</v>
      </c>
      <c r="H18" s="5">
        <v>0.72</v>
      </c>
      <c r="I18" s="5">
        <v>0.15</v>
      </c>
      <c r="J18" s="5">
        <v>2.4</v>
      </c>
      <c r="K18" s="5">
        <v>4</v>
      </c>
      <c r="L18" s="5">
        <v>64</v>
      </c>
      <c r="M18" s="5">
        <v>377</v>
      </c>
      <c r="N18" s="5">
        <v>4.8</v>
      </c>
      <c r="O18" s="5">
        <v>2.1</v>
      </c>
      <c r="P18" s="5">
        <f t="shared" si="0"/>
        <v>0.21000000000000002</v>
      </c>
    </row>
    <row r="19" spans="1:16" x14ac:dyDescent="0.25">
      <c r="A19" s="2" t="s">
        <v>33</v>
      </c>
      <c r="B19" s="5">
        <v>1.3</v>
      </c>
      <c r="C19" s="5">
        <v>0</v>
      </c>
      <c r="D19" s="5">
        <v>10.8</v>
      </c>
      <c r="E19" s="5">
        <v>63</v>
      </c>
      <c r="F19" s="5">
        <v>15</v>
      </c>
      <c r="G19" s="5">
        <v>0</v>
      </c>
      <c r="H19" s="5">
        <v>0.02</v>
      </c>
      <c r="I19" s="5">
        <v>0.05</v>
      </c>
      <c r="J19" s="5">
        <v>0.4</v>
      </c>
      <c r="K19" s="5">
        <v>10</v>
      </c>
      <c r="L19" s="5">
        <v>28</v>
      </c>
      <c r="M19" s="5">
        <v>43</v>
      </c>
      <c r="N19" s="5">
        <v>1.4</v>
      </c>
      <c r="O19" s="5">
        <v>1.58</v>
      </c>
      <c r="P19" s="5">
        <f t="shared" si="0"/>
        <v>0.158</v>
      </c>
    </row>
    <row r="20" spans="1:16" x14ac:dyDescent="0.25">
      <c r="A20" s="2" t="s">
        <v>34</v>
      </c>
      <c r="B20" s="5">
        <v>1.5</v>
      </c>
      <c r="C20" s="5">
        <v>0</v>
      </c>
      <c r="D20" s="5">
        <v>8</v>
      </c>
      <c r="E20" s="5">
        <v>163</v>
      </c>
      <c r="F20" s="5">
        <v>39</v>
      </c>
      <c r="G20" s="5">
        <v>0</v>
      </c>
      <c r="H20" s="5">
        <v>0.6</v>
      </c>
      <c r="I20" s="5">
        <v>0.6</v>
      </c>
      <c r="J20" s="5">
        <v>0.4</v>
      </c>
      <c r="K20" s="5">
        <v>5</v>
      </c>
      <c r="L20" s="5">
        <v>43</v>
      </c>
      <c r="M20" s="5">
        <v>39</v>
      </c>
      <c r="N20" s="5">
        <v>0.8</v>
      </c>
      <c r="O20" s="5">
        <v>0.65</v>
      </c>
      <c r="P20" s="5">
        <f t="shared" si="0"/>
        <v>6.5000000000000002E-2</v>
      </c>
    </row>
    <row r="21" spans="1:16" x14ac:dyDescent="0.25">
      <c r="A21" s="2" t="s">
        <v>35</v>
      </c>
      <c r="B21" s="5">
        <v>0.8</v>
      </c>
      <c r="C21" s="5">
        <v>0</v>
      </c>
      <c r="D21" s="5">
        <v>3</v>
      </c>
      <c r="E21" s="5">
        <v>67</v>
      </c>
      <c r="F21" s="5">
        <v>16</v>
      </c>
      <c r="G21" s="5">
        <v>0</v>
      </c>
      <c r="H21" s="5">
        <v>0.03</v>
      </c>
      <c r="I21" s="5">
        <v>0.04</v>
      </c>
      <c r="J21" s="5">
        <v>0.2</v>
      </c>
      <c r="K21" s="5">
        <v>5</v>
      </c>
      <c r="L21" s="5">
        <v>23</v>
      </c>
      <c r="M21" s="5">
        <v>27</v>
      </c>
      <c r="N21" s="5">
        <v>1</v>
      </c>
      <c r="O21" s="5">
        <v>1.1499999999999999</v>
      </c>
      <c r="P21" s="5">
        <f t="shared" si="0"/>
        <v>0.11499999999999999</v>
      </c>
    </row>
    <row r="22" spans="1:16" x14ac:dyDescent="0.25">
      <c r="A22" s="2" t="s">
        <v>36</v>
      </c>
      <c r="B22" s="5">
        <v>0.8</v>
      </c>
      <c r="C22" s="5">
        <v>0</v>
      </c>
      <c r="D22" s="5">
        <v>0.5</v>
      </c>
      <c r="E22" s="5">
        <v>38</v>
      </c>
      <c r="F22" s="5">
        <v>9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25</v>
      </c>
      <c r="M22" s="5">
        <v>20</v>
      </c>
      <c r="N22" s="5">
        <v>1.2</v>
      </c>
      <c r="O22" s="5">
        <v>3.19</v>
      </c>
      <c r="P22" s="5">
        <f t="shared" si="0"/>
        <v>0.31900000000000001</v>
      </c>
    </row>
    <row r="23" spans="1:16" x14ac:dyDescent="0.25">
      <c r="A23" s="2" t="s">
        <v>37</v>
      </c>
      <c r="B23" s="5">
        <v>1.8</v>
      </c>
      <c r="C23" s="5">
        <v>0</v>
      </c>
      <c r="D23" s="5">
        <v>5.4</v>
      </c>
      <c r="E23" s="5">
        <v>126</v>
      </c>
      <c r="F23" s="5">
        <v>30</v>
      </c>
      <c r="G23" s="5">
        <v>0</v>
      </c>
      <c r="H23" s="5">
        <v>0.06</v>
      </c>
      <c r="I23" s="5">
        <v>0.05</v>
      </c>
      <c r="J23" s="5">
        <v>0.4</v>
      </c>
      <c r="K23" s="5">
        <v>30</v>
      </c>
      <c r="L23" s="5">
        <v>48</v>
      </c>
      <c r="M23" s="5">
        <v>31</v>
      </c>
      <c r="N23" s="5">
        <v>1.1000000000000001</v>
      </c>
      <c r="O23" s="5">
        <v>0.79</v>
      </c>
      <c r="P23" s="5">
        <f t="shared" si="0"/>
        <v>7.9000000000000001E-2</v>
      </c>
    </row>
    <row r="24" spans="1:16" x14ac:dyDescent="0.25">
      <c r="A24" s="2" t="s">
        <v>38</v>
      </c>
      <c r="B24" s="5">
        <v>1.2</v>
      </c>
      <c r="C24" s="5">
        <v>0</v>
      </c>
      <c r="D24" s="5">
        <v>3.3</v>
      </c>
      <c r="E24" s="5">
        <v>105</v>
      </c>
      <c r="F24" s="5">
        <v>25</v>
      </c>
      <c r="G24" s="5">
        <v>0</v>
      </c>
      <c r="H24" s="5">
        <v>0</v>
      </c>
      <c r="I24" s="5">
        <v>0</v>
      </c>
      <c r="J24" s="5">
        <v>0</v>
      </c>
      <c r="K24" s="5">
        <v>20</v>
      </c>
      <c r="L24" s="5">
        <v>51</v>
      </c>
      <c r="M24" s="5">
        <v>34</v>
      </c>
      <c r="N24" s="5">
        <v>0.3</v>
      </c>
      <c r="O24" s="5">
        <v>3.56</v>
      </c>
      <c r="P24" s="5">
        <f t="shared" si="0"/>
        <v>0.35599999999999998</v>
      </c>
    </row>
    <row r="25" spans="1:16" x14ac:dyDescent="0.25">
      <c r="A25" s="2" t="s">
        <v>39</v>
      </c>
      <c r="B25" s="5">
        <v>2.5</v>
      </c>
      <c r="C25" s="5">
        <v>0</v>
      </c>
      <c r="D25" s="5">
        <v>4.9000000000000004</v>
      </c>
      <c r="E25" s="5">
        <v>126</v>
      </c>
      <c r="F25" s="5">
        <v>30</v>
      </c>
      <c r="G25" s="5">
        <v>0</v>
      </c>
      <c r="H25" s="5">
        <v>0.11</v>
      </c>
      <c r="I25" s="5">
        <v>0.1</v>
      </c>
      <c r="J25" s="5">
        <v>0.6</v>
      </c>
      <c r="K25" s="5">
        <v>70</v>
      </c>
      <c r="L25" s="5">
        <v>26</v>
      </c>
      <c r="M25" s="5">
        <v>51</v>
      </c>
      <c r="N25" s="5">
        <v>1.4</v>
      </c>
      <c r="O25" s="5">
        <v>1.79</v>
      </c>
      <c r="P25" s="5">
        <f t="shared" si="0"/>
        <v>0.17899999999999999</v>
      </c>
    </row>
    <row r="26" spans="1:16" x14ac:dyDescent="0.25">
      <c r="A26" s="2" t="s">
        <v>40</v>
      </c>
      <c r="B26" s="5">
        <v>2</v>
      </c>
      <c r="C26" s="5">
        <v>0</v>
      </c>
      <c r="D26" s="5">
        <v>21</v>
      </c>
      <c r="E26" s="5">
        <v>394</v>
      </c>
      <c r="F26" s="5">
        <v>94</v>
      </c>
      <c r="G26" s="5">
        <v>0</v>
      </c>
      <c r="H26" s="5">
        <v>0.1</v>
      </c>
      <c r="I26" s="5">
        <v>0.05</v>
      </c>
      <c r="J26" s="5">
        <v>0.9</v>
      </c>
      <c r="K26" s="5">
        <v>10</v>
      </c>
      <c r="L26" s="5">
        <v>10</v>
      </c>
      <c r="M26" s="5">
        <v>50</v>
      </c>
      <c r="N26" s="5">
        <v>1.2</v>
      </c>
      <c r="O26" s="5">
        <v>0.45</v>
      </c>
      <c r="P26" s="5">
        <f t="shared" si="0"/>
        <v>4.4999999999999998E-2</v>
      </c>
    </row>
    <row r="27" spans="1:16" x14ac:dyDescent="0.25">
      <c r="A27" s="2" t="s">
        <v>41</v>
      </c>
      <c r="B27" s="5">
        <v>0.5</v>
      </c>
      <c r="C27" s="5">
        <v>0</v>
      </c>
      <c r="D27" s="5">
        <v>6.2</v>
      </c>
      <c r="E27" s="5">
        <v>113</v>
      </c>
      <c r="F27" s="5">
        <v>27</v>
      </c>
      <c r="G27" s="5">
        <v>0</v>
      </c>
      <c r="H27" s="5">
        <v>0.06</v>
      </c>
      <c r="I27" s="5">
        <v>0.03</v>
      </c>
      <c r="J27" s="5">
        <v>0.4</v>
      </c>
      <c r="K27" s="5">
        <v>8</v>
      </c>
      <c r="L27" s="5">
        <v>24</v>
      </c>
      <c r="M27" s="5">
        <v>16</v>
      </c>
      <c r="N27" s="5">
        <v>2.5</v>
      </c>
      <c r="O27" s="5">
        <v>1.79</v>
      </c>
      <c r="P27" s="5">
        <f t="shared" si="0"/>
        <v>0.17899999999999999</v>
      </c>
    </row>
    <row r="28" spans="1:16" x14ac:dyDescent="0.25">
      <c r="A28" s="2" t="s">
        <v>42</v>
      </c>
      <c r="B28" s="5">
        <v>1.3</v>
      </c>
      <c r="C28" s="5">
        <v>0</v>
      </c>
      <c r="D28" s="5">
        <v>4.3</v>
      </c>
      <c r="E28" s="5">
        <v>96</v>
      </c>
      <c r="F28" s="5">
        <v>23</v>
      </c>
      <c r="G28" s="5">
        <v>0</v>
      </c>
      <c r="H28" s="5">
        <v>0</v>
      </c>
      <c r="I28" s="5">
        <v>0</v>
      </c>
      <c r="J28" s="5">
        <v>0</v>
      </c>
      <c r="K28" s="5">
        <v>48</v>
      </c>
      <c r="L28" s="5">
        <v>80</v>
      </c>
      <c r="M28" s="5">
        <v>0</v>
      </c>
      <c r="N28" s="5">
        <v>1</v>
      </c>
      <c r="O28" s="5">
        <v>9.99</v>
      </c>
      <c r="P28" s="5">
        <f t="shared" si="0"/>
        <v>0.999</v>
      </c>
    </row>
    <row r="29" spans="1:16" x14ac:dyDescent="0.25">
      <c r="A29" s="2" t="s">
        <v>43</v>
      </c>
      <c r="B29" s="5">
        <v>2.5</v>
      </c>
      <c r="C29" s="5">
        <v>0</v>
      </c>
      <c r="D29" s="5">
        <v>16.3</v>
      </c>
      <c r="E29" s="5">
        <v>322</v>
      </c>
      <c r="F29" s="5">
        <v>77</v>
      </c>
      <c r="G29" s="5">
        <v>0</v>
      </c>
      <c r="H29" s="5">
        <v>0</v>
      </c>
      <c r="I29" s="5">
        <v>0</v>
      </c>
      <c r="J29" s="5">
        <v>0</v>
      </c>
      <c r="K29" s="5">
        <v>200</v>
      </c>
      <c r="L29" s="5">
        <v>119</v>
      </c>
      <c r="M29" s="5">
        <v>70</v>
      </c>
      <c r="N29" s="5">
        <v>2</v>
      </c>
      <c r="O29" s="5">
        <v>9.4499999999999993</v>
      </c>
      <c r="P29" s="5">
        <f t="shared" si="0"/>
        <v>0.94499999999999995</v>
      </c>
    </row>
    <row r="30" spans="1:16" x14ac:dyDescent="0.25">
      <c r="A30" s="2" t="s">
        <v>44</v>
      </c>
      <c r="B30" s="5">
        <v>3.7</v>
      </c>
      <c r="C30" s="5">
        <v>0</v>
      </c>
      <c r="D30" s="5">
        <v>8.1</v>
      </c>
      <c r="E30" s="5">
        <v>201</v>
      </c>
      <c r="F30" s="5">
        <v>48</v>
      </c>
      <c r="G30" s="5">
        <v>0</v>
      </c>
      <c r="H30" s="5">
        <v>0</v>
      </c>
      <c r="I30" s="5">
        <v>0</v>
      </c>
      <c r="J30" s="5">
        <v>0</v>
      </c>
      <c r="K30" s="5">
        <v>1500</v>
      </c>
      <c r="L30" s="5">
        <v>325</v>
      </c>
      <c r="M30" s="5">
        <v>128</v>
      </c>
      <c r="N30" s="5">
        <v>8</v>
      </c>
      <c r="O30" s="5">
        <v>11.9</v>
      </c>
      <c r="P30" s="5">
        <f t="shared" si="0"/>
        <v>1.19</v>
      </c>
    </row>
    <row r="31" spans="1:16" x14ac:dyDescent="0.25">
      <c r="A31" s="2" t="s">
        <v>45</v>
      </c>
      <c r="B31" s="5">
        <v>3</v>
      </c>
      <c r="C31" s="5">
        <v>0</v>
      </c>
      <c r="D31" s="5">
        <v>7.3</v>
      </c>
      <c r="E31" s="5">
        <v>176</v>
      </c>
      <c r="F31" s="5">
        <v>42</v>
      </c>
      <c r="G31" s="5">
        <v>0</v>
      </c>
      <c r="H31" s="5">
        <v>0.06</v>
      </c>
      <c r="I31" s="5">
        <v>0.04</v>
      </c>
      <c r="J31" s="5">
        <v>0.5</v>
      </c>
      <c r="K31" s="5">
        <v>20</v>
      </c>
      <c r="L31" s="5">
        <v>80</v>
      </c>
      <c r="M31" s="5">
        <v>58</v>
      </c>
      <c r="N31" s="5">
        <v>1</v>
      </c>
      <c r="O31" s="5">
        <v>1.99</v>
      </c>
      <c r="P31" s="5">
        <f t="shared" si="0"/>
        <v>0.19900000000000001</v>
      </c>
    </row>
    <row r="32" spans="1:16" x14ac:dyDescent="0.25">
      <c r="A32" s="2" t="s">
        <v>46</v>
      </c>
      <c r="B32" s="5">
        <v>1.2</v>
      </c>
      <c r="C32" s="5">
        <v>0</v>
      </c>
      <c r="D32" s="5">
        <v>4.0999999999999996</v>
      </c>
      <c r="E32" s="5">
        <v>92</v>
      </c>
      <c r="F32" s="5">
        <v>22</v>
      </c>
      <c r="G32" s="5">
        <v>0</v>
      </c>
      <c r="H32" s="5">
        <v>0.03</v>
      </c>
      <c r="I32" s="5">
        <v>0.02</v>
      </c>
      <c r="J32" s="5">
        <v>0.3</v>
      </c>
      <c r="K32" s="5">
        <v>20</v>
      </c>
      <c r="L32" s="5">
        <v>37</v>
      </c>
      <c r="M32" s="5">
        <v>27</v>
      </c>
      <c r="N32" s="5">
        <v>1</v>
      </c>
      <c r="O32" s="5">
        <v>2.99</v>
      </c>
      <c r="P32" s="5">
        <f t="shared" si="0"/>
        <v>0.29900000000000004</v>
      </c>
    </row>
    <row r="33" spans="1:16" x14ac:dyDescent="0.25">
      <c r="A33" s="2" t="s">
        <v>47</v>
      </c>
      <c r="B33" s="5">
        <v>1.5</v>
      </c>
      <c r="C33" s="5">
        <v>0</v>
      </c>
      <c r="D33" s="5">
        <v>2.2000000000000002</v>
      </c>
      <c r="E33" s="5">
        <v>63</v>
      </c>
      <c r="F33" s="5">
        <v>15</v>
      </c>
      <c r="G33" s="5">
        <v>0</v>
      </c>
      <c r="H33" s="5">
        <v>0</v>
      </c>
      <c r="I33" s="5">
        <v>0</v>
      </c>
      <c r="J33" s="5">
        <v>0</v>
      </c>
      <c r="K33" s="5">
        <v>7</v>
      </c>
      <c r="L33" s="5">
        <v>77</v>
      </c>
      <c r="M33" s="5">
        <v>34</v>
      </c>
      <c r="N33" s="5">
        <v>0.9</v>
      </c>
      <c r="O33" s="5">
        <v>1.29</v>
      </c>
      <c r="P33" s="5">
        <f t="shared" si="0"/>
        <v>0.129</v>
      </c>
    </row>
    <row r="34" spans="1:16" x14ac:dyDescent="0.25">
      <c r="A34" s="2" t="s">
        <v>48</v>
      </c>
      <c r="B34" s="5">
        <v>3</v>
      </c>
      <c r="C34" s="5">
        <v>0</v>
      </c>
      <c r="D34" s="5">
        <v>9.6</v>
      </c>
      <c r="E34" s="5">
        <v>218</v>
      </c>
      <c r="F34" s="5">
        <v>52</v>
      </c>
      <c r="G34" s="5">
        <v>0</v>
      </c>
      <c r="H34" s="5">
        <v>0.02</v>
      </c>
      <c r="I34" s="5">
        <v>0.03</v>
      </c>
      <c r="J34" s="5">
        <v>0.2</v>
      </c>
      <c r="K34" s="5">
        <v>8</v>
      </c>
      <c r="L34" s="5">
        <v>38</v>
      </c>
      <c r="M34" s="5">
        <v>58</v>
      </c>
      <c r="N34" s="5">
        <v>0.8</v>
      </c>
      <c r="O34" s="5">
        <v>0.99</v>
      </c>
      <c r="P34" s="5">
        <f t="shared" si="0"/>
        <v>9.9000000000000005E-2</v>
      </c>
    </row>
    <row r="35" spans="1:16" x14ac:dyDescent="0.25">
      <c r="A35" s="2" t="s">
        <v>49</v>
      </c>
      <c r="B35" s="5">
        <v>2.6</v>
      </c>
      <c r="C35" s="5">
        <v>0</v>
      </c>
      <c r="D35" s="5">
        <v>5.3</v>
      </c>
      <c r="E35" s="5">
        <v>142</v>
      </c>
      <c r="F35" s="5">
        <v>34</v>
      </c>
      <c r="G35" s="5">
        <v>0</v>
      </c>
      <c r="H35" s="5">
        <v>0</v>
      </c>
      <c r="I35" s="5">
        <v>0</v>
      </c>
      <c r="J35" s="5">
        <v>0</v>
      </c>
      <c r="K35" s="5">
        <v>60</v>
      </c>
      <c r="L35" s="5">
        <v>55</v>
      </c>
      <c r="M35" s="5">
        <v>37</v>
      </c>
      <c r="N35" s="5">
        <v>0</v>
      </c>
      <c r="O35" s="5">
        <v>5.75</v>
      </c>
      <c r="P35" s="5">
        <f t="shared" si="0"/>
        <v>0.57499999999999996</v>
      </c>
    </row>
    <row r="36" spans="1:16" x14ac:dyDescent="0.25">
      <c r="A36" s="2" t="s">
        <v>50</v>
      </c>
      <c r="B36" s="5">
        <v>2.9</v>
      </c>
      <c r="C36" s="5">
        <v>0</v>
      </c>
      <c r="D36" s="5">
        <v>2.2999999999999998</v>
      </c>
      <c r="E36" s="5">
        <v>88</v>
      </c>
      <c r="F36" s="5">
        <v>21</v>
      </c>
      <c r="G36" s="5">
        <v>0</v>
      </c>
      <c r="H36" s="5">
        <v>0.11</v>
      </c>
      <c r="I36" s="5">
        <v>0.2</v>
      </c>
      <c r="J36" s="5">
        <v>0.6</v>
      </c>
      <c r="K36" s="5">
        <v>50</v>
      </c>
      <c r="L36" s="5">
        <v>81</v>
      </c>
      <c r="M36" s="5">
        <v>83</v>
      </c>
      <c r="N36" s="5">
        <v>3</v>
      </c>
      <c r="O36" s="5">
        <v>7.45</v>
      </c>
      <c r="P36" s="5">
        <f t="shared" si="0"/>
        <v>0.745</v>
      </c>
    </row>
    <row r="37" spans="1:16" x14ac:dyDescent="0.25">
      <c r="A37" s="2" t="s">
        <v>51</v>
      </c>
      <c r="B37" s="5">
        <v>0.6</v>
      </c>
      <c r="C37" s="5">
        <v>0</v>
      </c>
      <c r="D37" s="5">
        <v>4.2</v>
      </c>
      <c r="E37" s="5">
        <v>92</v>
      </c>
      <c r="F37" s="5">
        <v>22</v>
      </c>
      <c r="G37" s="5">
        <v>0</v>
      </c>
      <c r="H37" s="5">
        <v>0.06</v>
      </c>
      <c r="I37" s="5">
        <v>0.04</v>
      </c>
      <c r="J37" s="5">
        <v>0.5</v>
      </c>
      <c r="K37" s="5">
        <v>40</v>
      </c>
      <c r="L37" s="5">
        <v>12</v>
      </c>
      <c r="M37" s="5">
        <v>26</v>
      </c>
      <c r="N37" s="5">
        <v>1.4</v>
      </c>
      <c r="O37" s="5">
        <v>1.89</v>
      </c>
      <c r="P37" s="5">
        <f t="shared" si="0"/>
        <v>0.189</v>
      </c>
    </row>
    <row r="38" spans="1:16" x14ac:dyDescent="0.25">
      <c r="A38" s="2" t="s">
        <v>52</v>
      </c>
      <c r="B38" s="5">
        <v>5</v>
      </c>
      <c r="C38" s="5">
        <v>0</v>
      </c>
      <c r="D38" s="5">
        <v>13.3</v>
      </c>
      <c r="E38" s="5">
        <v>314</v>
      </c>
      <c r="F38" s="5">
        <v>75</v>
      </c>
      <c r="G38" s="5">
        <v>0</v>
      </c>
      <c r="H38" s="5">
        <v>0.34</v>
      </c>
      <c r="I38" s="5">
        <v>0.19</v>
      </c>
      <c r="J38" s="5">
        <v>2.6</v>
      </c>
      <c r="K38" s="5">
        <v>25</v>
      </c>
      <c r="L38" s="5">
        <v>26</v>
      </c>
      <c r="M38" s="5">
        <v>122</v>
      </c>
      <c r="N38" s="5">
        <v>0.7</v>
      </c>
      <c r="O38" s="5">
        <v>6.63</v>
      </c>
      <c r="P38" s="5">
        <f t="shared" si="0"/>
        <v>0.66300000000000003</v>
      </c>
    </row>
    <row r="39" spans="1:16" x14ac:dyDescent="0.25">
      <c r="A39" s="2" t="s">
        <v>53</v>
      </c>
      <c r="B39" s="5">
        <v>0.4</v>
      </c>
      <c r="C39" s="5">
        <v>0</v>
      </c>
      <c r="D39" s="5">
        <v>11.3</v>
      </c>
      <c r="E39" s="5">
        <v>214</v>
      </c>
      <c r="F39" s="5">
        <v>51</v>
      </c>
      <c r="G39" s="5">
        <v>0</v>
      </c>
      <c r="H39" s="5">
        <v>0.04</v>
      </c>
      <c r="I39" s="5">
        <v>0.03</v>
      </c>
      <c r="J39" s="5">
        <v>0.2</v>
      </c>
      <c r="K39" s="5">
        <v>7</v>
      </c>
      <c r="L39" s="5">
        <v>19</v>
      </c>
      <c r="M39" s="5">
        <v>13</v>
      </c>
      <c r="N39" s="5">
        <v>2.5</v>
      </c>
      <c r="O39" s="5">
        <v>0.79</v>
      </c>
      <c r="P39" s="5">
        <f t="shared" si="0"/>
        <v>7.9000000000000001E-2</v>
      </c>
    </row>
    <row r="40" spans="1:16" x14ac:dyDescent="0.25">
      <c r="A40" s="2" t="s">
        <v>54</v>
      </c>
      <c r="B40" s="5">
        <v>2</v>
      </c>
      <c r="C40" s="5">
        <v>0</v>
      </c>
      <c r="D40" s="5">
        <v>67.2</v>
      </c>
      <c r="E40" s="5">
        <v>1230</v>
      </c>
      <c r="F40" s="5">
        <v>293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111</v>
      </c>
      <c r="M40" s="5">
        <v>77</v>
      </c>
      <c r="N40" s="5">
        <v>14.8</v>
      </c>
      <c r="O40" s="5">
        <v>37.25</v>
      </c>
      <c r="P40" s="5">
        <f t="shared" si="0"/>
        <v>3.7250000000000001</v>
      </c>
    </row>
    <row r="41" spans="1:16" x14ac:dyDescent="0.25">
      <c r="A41" s="2" t="s">
        <v>55</v>
      </c>
      <c r="B41" s="5">
        <v>0.9</v>
      </c>
      <c r="C41" s="5">
        <v>0</v>
      </c>
      <c r="D41" s="5">
        <v>8.4</v>
      </c>
      <c r="E41" s="5">
        <v>180</v>
      </c>
      <c r="F41" s="5">
        <v>43</v>
      </c>
      <c r="G41" s="5">
        <v>0</v>
      </c>
      <c r="H41" s="5">
        <v>0.08</v>
      </c>
      <c r="I41" s="5">
        <v>0.03</v>
      </c>
      <c r="J41" s="5">
        <v>0.2</v>
      </c>
      <c r="K41" s="5">
        <v>40</v>
      </c>
      <c r="L41" s="5">
        <v>34</v>
      </c>
      <c r="M41" s="5">
        <v>23</v>
      </c>
      <c r="N41" s="5">
        <v>0.4</v>
      </c>
      <c r="O41" s="5">
        <v>1.19</v>
      </c>
      <c r="P41" s="5">
        <f t="shared" si="0"/>
        <v>0.11899999999999999</v>
      </c>
    </row>
    <row r="42" spans="1:16" x14ac:dyDescent="0.25">
      <c r="A42" s="2" t="s">
        <v>56</v>
      </c>
      <c r="B42" s="5">
        <v>5</v>
      </c>
      <c r="C42" s="5">
        <v>0</v>
      </c>
      <c r="D42" s="5">
        <v>69.5</v>
      </c>
      <c r="E42" s="5">
        <v>1310</v>
      </c>
      <c r="F42" s="5">
        <v>314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166</v>
      </c>
      <c r="M42" s="5">
        <v>152</v>
      </c>
      <c r="N42" s="5">
        <v>12.3</v>
      </c>
      <c r="O42" s="5">
        <v>13.98</v>
      </c>
      <c r="P42" s="5">
        <f t="shared" si="0"/>
        <v>1.3980000000000001</v>
      </c>
    </row>
    <row r="43" spans="1:16" x14ac:dyDescent="0.25">
      <c r="A43" s="2" t="s">
        <v>57</v>
      </c>
      <c r="B43" s="5">
        <v>0.8</v>
      </c>
      <c r="C43" s="5">
        <v>0</v>
      </c>
      <c r="D43" s="5">
        <v>6.5</v>
      </c>
      <c r="E43" s="5">
        <v>155</v>
      </c>
      <c r="F43" s="5">
        <v>37</v>
      </c>
      <c r="G43" s="5">
        <v>0</v>
      </c>
      <c r="H43" s="5">
        <v>0.02</v>
      </c>
      <c r="I43" s="5">
        <v>7.0000000000000007E-2</v>
      </c>
      <c r="J43" s="5">
        <v>0</v>
      </c>
      <c r="K43" s="5">
        <v>30</v>
      </c>
      <c r="L43" s="5">
        <v>40</v>
      </c>
      <c r="M43" s="5">
        <v>37</v>
      </c>
      <c r="N43" s="5">
        <v>0.9</v>
      </c>
      <c r="O43" s="5">
        <v>23.92</v>
      </c>
      <c r="P43" s="5">
        <f t="shared" si="0"/>
        <v>2.3920000000000003</v>
      </c>
    </row>
    <row r="44" spans="1:16" x14ac:dyDescent="0.25">
      <c r="A44" s="2" t="s">
        <v>58</v>
      </c>
      <c r="B44" s="5">
        <v>0.4</v>
      </c>
      <c r="C44" s="5">
        <v>0</v>
      </c>
      <c r="D44" s="5">
        <v>10.7</v>
      </c>
      <c r="E44" s="5">
        <v>197</v>
      </c>
      <c r="F44" s="5">
        <v>47</v>
      </c>
      <c r="G44" s="5">
        <v>0</v>
      </c>
      <c r="H44" s="5">
        <v>0.02</v>
      </c>
      <c r="I44" s="5">
        <v>0.04</v>
      </c>
      <c r="J44" s="5">
        <v>0.1</v>
      </c>
      <c r="K44" s="5">
        <v>4</v>
      </c>
      <c r="L44" s="5">
        <v>19</v>
      </c>
      <c r="M44" s="5">
        <v>16</v>
      </c>
      <c r="N44" s="5">
        <v>2.2999999999999998</v>
      </c>
      <c r="O44" s="5">
        <v>2.29</v>
      </c>
      <c r="P44" s="5">
        <f t="shared" si="0"/>
        <v>0.22900000000000001</v>
      </c>
    </row>
    <row r="45" spans="1:16" x14ac:dyDescent="0.25">
      <c r="A45" s="2" t="s">
        <v>59</v>
      </c>
      <c r="B45" s="5">
        <v>0.9</v>
      </c>
      <c r="C45" s="5">
        <v>0</v>
      </c>
      <c r="D45" s="5">
        <v>3.6</v>
      </c>
      <c r="E45" s="5">
        <v>180</v>
      </c>
      <c r="F45" s="5">
        <v>43</v>
      </c>
      <c r="G45" s="5">
        <v>0</v>
      </c>
      <c r="H45" s="5">
        <v>0.04</v>
      </c>
      <c r="I45" s="5">
        <v>0</v>
      </c>
      <c r="J45" s="5">
        <v>0.1</v>
      </c>
      <c r="K45" s="5">
        <v>40</v>
      </c>
      <c r="L45" s="5">
        <v>40</v>
      </c>
      <c r="M45" s="5">
        <v>22</v>
      </c>
      <c r="N45" s="5">
        <v>0.6</v>
      </c>
      <c r="O45" s="5">
        <v>2.29</v>
      </c>
      <c r="P45" s="5">
        <f t="shared" si="0"/>
        <v>0.22900000000000001</v>
      </c>
    </row>
    <row r="46" spans="1:16" x14ac:dyDescent="0.25">
      <c r="A46" s="2" t="s">
        <v>60</v>
      </c>
      <c r="B46" s="5">
        <v>0.5</v>
      </c>
      <c r="C46" s="5">
        <v>0</v>
      </c>
      <c r="D46" s="5">
        <v>4.8</v>
      </c>
      <c r="E46" s="5">
        <v>142</v>
      </c>
      <c r="F46" s="5">
        <v>34</v>
      </c>
      <c r="G46" s="5">
        <v>0</v>
      </c>
      <c r="H46" s="5">
        <v>0.03</v>
      </c>
      <c r="I46" s="5">
        <v>0.02</v>
      </c>
      <c r="J46" s="5">
        <v>0.1</v>
      </c>
      <c r="K46" s="5">
        <v>10</v>
      </c>
      <c r="L46" s="5">
        <v>14</v>
      </c>
      <c r="M46" s="5">
        <v>11</v>
      </c>
      <c r="N46" s="5">
        <v>0.6</v>
      </c>
      <c r="O46" s="5">
        <v>4.9800000000000004</v>
      </c>
      <c r="P46" s="5">
        <f t="shared" si="0"/>
        <v>0.49800000000000005</v>
      </c>
    </row>
    <row r="47" spans="1:16" x14ac:dyDescent="0.25">
      <c r="A47" s="2" t="s">
        <v>61</v>
      </c>
      <c r="B47" s="5">
        <v>0.8</v>
      </c>
      <c r="C47" s="5">
        <v>0</v>
      </c>
      <c r="D47" s="5">
        <v>11.3</v>
      </c>
      <c r="E47" s="5">
        <v>222</v>
      </c>
      <c r="F47" s="5">
        <v>53</v>
      </c>
      <c r="G47" s="5">
        <v>0</v>
      </c>
      <c r="H47" s="5">
        <v>0.05</v>
      </c>
      <c r="I47" s="5">
        <v>0.06</v>
      </c>
      <c r="J47" s="5">
        <v>0.4</v>
      </c>
      <c r="K47" s="5">
        <v>15</v>
      </c>
      <c r="L47" s="5">
        <v>37</v>
      </c>
      <c r="M47" s="5">
        <v>30</v>
      </c>
      <c r="N47" s="5">
        <v>1.4</v>
      </c>
      <c r="O47" s="5">
        <v>9.73</v>
      </c>
      <c r="P47" s="5">
        <f t="shared" si="0"/>
        <v>0.97300000000000009</v>
      </c>
    </row>
    <row r="48" spans="1:16" x14ac:dyDescent="0.25">
      <c r="A48" s="2" t="s">
        <v>62</v>
      </c>
      <c r="B48" s="5">
        <v>0.8</v>
      </c>
      <c r="C48" s="5">
        <v>0</v>
      </c>
      <c r="D48" s="5">
        <v>8.6</v>
      </c>
      <c r="E48" s="5">
        <v>180</v>
      </c>
      <c r="F48" s="5">
        <v>43</v>
      </c>
      <c r="G48" s="5">
        <v>0</v>
      </c>
      <c r="H48" s="5">
        <v>0.08</v>
      </c>
      <c r="I48" s="5">
        <v>0.03</v>
      </c>
      <c r="J48" s="5">
        <v>0.2</v>
      </c>
      <c r="K48" s="5">
        <v>30</v>
      </c>
      <c r="L48" s="5">
        <v>35</v>
      </c>
      <c r="M48" s="5">
        <v>17</v>
      </c>
      <c r="N48" s="5">
        <v>0.4</v>
      </c>
      <c r="O48" s="5">
        <v>1.39</v>
      </c>
      <c r="P48" s="5">
        <f t="shared" si="0"/>
        <v>0.13899999999999998</v>
      </c>
    </row>
    <row r="49" spans="1:16" x14ac:dyDescent="0.25">
      <c r="A49" s="2" t="s">
        <v>63</v>
      </c>
      <c r="B49" s="5">
        <v>1.1000000000000001</v>
      </c>
      <c r="C49" s="5">
        <v>0</v>
      </c>
      <c r="D49" s="5">
        <v>8.6</v>
      </c>
      <c r="E49" s="5">
        <v>188</v>
      </c>
      <c r="F49" s="5">
        <v>45</v>
      </c>
      <c r="G49" s="5">
        <v>0</v>
      </c>
      <c r="H49" s="5">
        <v>0.02</v>
      </c>
      <c r="I49" s="5">
        <v>0.02</v>
      </c>
      <c r="J49" s="5">
        <v>0.3</v>
      </c>
      <c r="K49" s="5">
        <v>5</v>
      </c>
      <c r="L49" s="5">
        <v>16</v>
      </c>
      <c r="M49" s="5">
        <v>13</v>
      </c>
      <c r="N49" s="5">
        <v>0.8</v>
      </c>
      <c r="O49" s="5">
        <v>19.920000000000002</v>
      </c>
      <c r="P49" s="5">
        <f t="shared" si="0"/>
        <v>1.9920000000000002</v>
      </c>
    </row>
    <row r="50" spans="1:16" x14ac:dyDescent="0.25">
      <c r="A50" s="2" t="s">
        <v>64</v>
      </c>
      <c r="B50" s="5">
        <v>0.8</v>
      </c>
      <c r="C50" s="5">
        <v>0</v>
      </c>
      <c r="D50" s="5">
        <v>9.9</v>
      </c>
      <c r="E50" s="5">
        <v>205</v>
      </c>
      <c r="F50" s="5">
        <v>49</v>
      </c>
      <c r="G50" s="5">
        <v>0</v>
      </c>
      <c r="H50" s="5">
        <v>0.06</v>
      </c>
      <c r="I50" s="5">
        <v>0.04</v>
      </c>
      <c r="J50" s="5">
        <v>0.5</v>
      </c>
      <c r="K50" s="5">
        <v>5</v>
      </c>
      <c r="L50" s="5">
        <v>28</v>
      </c>
      <c r="M50" s="5">
        <v>27</v>
      </c>
      <c r="N50" s="5">
        <v>2.1</v>
      </c>
      <c r="O50" s="5">
        <v>3.49</v>
      </c>
      <c r="P50" s="5">
        <f t="shared" si="0"/>
        <v>0.34900000000000003</v>
      </c>
    </row>
    <row r="51" spans="1:16" x14ac:dyDescent="0.25">
      <c r="A51" s="2" t="s">
        <v>65</v>
      </c>
      <c r="B51" s="5">
        <v>2.2999999999999998</v>
      </c>
      <c r="C51" s="5">
        <v>0</v>
      </c>
      <c r="D51" s="5">
        <v>65.099999999999994</v>
      </c>
      <c r="E51" s="5">
        <v>1220</v>
      </c>
      <c r="F51" s="5">
        <v>291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80</v>
      </c>
      <c r="M51" s="5">
        <v>83</v>
      </c>
      <c r="N51" s="5">
        <v>3</v>
      </c>
      <c r="O51" s="5">
        <v>6.98</v>
      </c>
      <c r="P51" s="5">
        <f t="shared" si="0"/>
        <v>0.69800000000000006</v>
      </c>
    </row>
    <row r="52" spans="1:16" x14ac:dyDescent="0.25">
      <c r="A52" s="2" t="s">
        <v>66</v>
      </c>
      <c r="B52" s="5">
        <v>0.4</v>
      </c>
      <c r="C52" s="5">
        <v>0</v>
      </c>
      <c r="D52" s="5">
        <v>16.5</v>
      </c>
      <c r="E52" s="5">
        <v>306</v>
      </c>
      <c r="F52" s="5">
        <v>73</v>
      </c>
      <c r="G52" s="5">
        <v>0</v>
      </c>
      <c r="H52" s="5">
        <v>0.06</v>
      </c>
      <c r="I52" s="5">
        <v>0.04</v>
      </c>
      <c r="J52" s="5">
        <v>0.2</v>
      </c>
      <c r="K52" s="5">
        <v>3</v>
      </c>
      <c r="L52" s="5">
        <v>17</v>
      </c>
      <c r="M52" s="5">
        <v>22</v>
      </c>
      <c r="N52" s="5">
        <v>0.6</v>
      </c>
      <c r="O52" s="5">
        <v>4.9800000000000004</v>
      </c>
      <c r="P52" s="5">
        <f t="shared" si="0"/>
        <v>0.49800000000000005</v>
      </c>
    </row>
    <row r="53" spans="1:16" x14ac:dyDescent="0.25">
      <c r="A53" s="2" t="s">
        <v>67</v>
      </c>
      <c r="B53" s="5">
        <v>1.8</v>
      </c>
      <c r="C53" s="5">
        <v>0</v>
      </c>
      <c r="D53" s="5">
        <v>8.1</v>
      </c>
      <c r="E53" s="5">
        <v>193</v>
      </c>
      <c r="F53" s="5">
        <v>46</v>
      </c>
      <c r="G53" s="5">
        <v>0</v>
      </c>
      <c r="H53" s="5">
        <v>0.03</v>
      </c>
      <c r="I53" s="5">
        <v>0.06</v>
      </c>
      <c r="J53" s="5">
        <v>0.3</v>
      </c>
      <c r="K53" s="5">
        <v>60</v>
      </c>
      <c r="L53" s="5">
        <v>22</v>
      </c>
      <c r="M53" s="5">
        <v>23</v>
      </c>
      <c r="N53" s="5">
        <v>0.7</v>
      </c>
      <c r="O53" s="5">
        <v>11.98</v>
      </c>
      <c r="P53" s="5">
        <f t="shared" si="0"/>
        <v>1.198</v>
      </c>
    </row>
    <row r="54" spans="1:16" x14ac:dyDescent="0.25">
      <c r="A54" s="2" t="s">
        <v>68</v>
      </c>
      <c r="B54" s="5">
        <v>19</v>
      </c>
      <c r="C54" s="5">
        <v>58</v>
      </c>
      <c r="D54" s="5">
        <v>9</v>
      </c>
      <c r="E54" s="5">
        <v>2740</v>
      </c>
      <c r="F54" s="5">
        <v>654</v>
      </c>
      <c r="G54" s="5">
        <v>0</v>
      </c>
      <c r="H54" s="5">
        <v>0.84</v>
      </c>
      <c r="I54" s="5">
        <v>0.12</v>
      </c>
      <c r="J54" s="5">
        <v>16</v>
      </c>
      <c r="K54" s="5">
        <v>0</v>
      </c>
      <c r="L54" s="5">
        <v>44</v>
      </c>
      <c r="M54" s="5">
        <v>230</v>
      </c>
      <c r="N54" s="5">
        <v>1</v>
      </c>
      <c r="O54" s="5">
        <v>19.93</v>
      </c>
      <c r="P54" s="5">
        <f t="shared" si="0"/>
        <v>1.9929999999999999</v>
      </c>
    </row>
    <row r="55" spans="1:16" x14ac:dyDescent="0.25">
      <c r="A55" s="2" t="s">
        <v>69</v>
      </c>
      <c r="B55" s="5">
        <v>21</v>
      </c>
      <c r="C55" s="5">
        <v>55</v>
      </c>
      <c r="D55" s="5">
        <v>10</v>
      </c>
      <c r="E55" s="5">
        <v>2670</v>
      </c>
      <c r="F55" s="5">
        <v>639</v>
      </c>
      <c r="G55" s="5">
        <v>0</v>
      </c>
      <c r="H55" s="5">
        <v>0.25</v>
      </c>
      <c r="I55" s="5">
        <v>0.67</v>
      </c>
      <c r="J55" s="5">
        <v>4.5999999999999996</v>
      </c>
      <c r="K55" s="5">
        <v>0</v>
      </c>
      <c r="L55" s="5">
        <v>247</v>
      </c>
      <c r="M55" s="5">
        <v>442</v>
      </c>
      <c r="N55" s="5">
        <v>4.2</v>
      </c>
      <c r="O55" s="5">
        <v>9.98</v>
      </c>
      <c r="P55" s="5">
        <f t="shared" si="0"/>
        <v>0.998</v>
      </c>
    </row>
    <row r="56" spans="1:16" x14ac:dyDescent="0.25">
      <c r="A56" s="2" t="s">
        <v>70</v>
      </c>
      <c r="B56" s="5">
        <v>18</v>
      </c>
      <c r="C56" s="5">
        <v>59</v>
      </c>
      <c r="D56" s="5">
        <v>8.6999999999999993</v>
      </c>
      <c r="E56" s="5">
        <v>2750</v>
      </c>
      <c r="F56" s="5">
        <v>658</v>
      </c>
      <c r="G56" s="5">
        <v>0</v>
      </c>
      <c r="H56" s="5">
        <v>0.48</v>
      </c>
      <c r="I56" s="5">
        <v>0.13</v>
      </c>
      <c r="J56" s="5">
        <v>1.2</v>
      </c>
      <c r="K56" s="5">
        <v>3</v>
      </c>
      <c r="L56" s="5">
        <v>61</v>
      </c>
      <c r="M56" s="5">
        <v>510</v>
      </c>
      <c r="N56" s="5">
        <v>2.2999999999999998</v>
      </c>
      <c r="O56" s="5">
        <v>15.98</v>
      </c>
      <c r="P56" s="5">
        <f t="shared" si="0"/>
        <v>1.5980000000000001</v>
      </c>
    </row>
    <row r="57" spans="1:16" x14ac:dyDescent="0.25">
      <c r="A57" s="2" t="s">
        <v>71</v>
      </c>
      <c r="B57" s="5">
        <v>27.5</v>
      </c>
      <c r="C57" s="5">
        <v>44.5</v>
      </c>
      <c r="D57" s="5">
        <v>15.5</v>
      </c>
      <c r="E57" s="5">
        <v>2450</v>
      </c>
      <c r="F57" s="5">
        <v>590</v>
      </c>
      <c r="G57" s="5">
        <v>0</v>
      </c>
      <c r="H57" s="5">
        <v>0.84</v>
      </c>
      <c r="I57" s="5">
        <v>0.12</v>
      </c>
      <c r="J57" s="5">
        <v>16</v>
      </c>
      <c r="K57" s="5">
        <v>0</v>
      </c>
      <c r="L57" s="5">
        <v>61</v>
      </c>
      <c r="M57" s="5">
        <v>230</v>
      </c>
      <c r="N57" s="5">
        <v>1</v>
      </c>
      <c r="O57" s="5">
        <v>4.9800000000000004</v>
      </c>
      <c r="P57" s="5">
        <f t="shared" si="0"/>
        <v>0.49800000000000005</v>
      </c>
    </row>
    <row r="58" spans="1:16" x14ac:dyDescent="0.25">
      <c r="A58" s="2" t="s">
        <v>72</v>
      </c>
      <c r="B58" s="5">
        <v>0</v>
      </c>
      <c r="C58" s="5">
        <v>0</v>
      </c>
      <c r="D58" s="5">
        <v>99.9</v>
      </c>
      <c r="E58" s="5">
        <v>1720</v>
      </c>
      <c r="F58" s="5">
        <v>410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0.79</v>
      </c>
      <c r="P58" s="5">
        <f t="shared" si="0"/>
        <v>7.9000000000000001E-2</v>
      </c>
    </row>
    <row r="59" spans="1:16" x14ac:dyDescent="0.25">
      <c r="A59" s="2" t="s">
        <v>73</v>
      </c>
      <c r="B59" s="5">
        <v>0.4</v>
      </c>
      <c r="C59" s="5">
        <v>0</v>
      </c>
      <c r="D59" s="5">
        <v>8.3000000000000007</v>
      </c>
      <c r="E59" s="5">
        <v>1400</v>
      </c>
      <c r="F59" s="5">
        <v>335</v>
      </c>
      <c r="G59" s="5">
        <v>0</v>
      </c>
      <c r="H59" s="5">
        <v>0</v>
      </c>
      <c r="I59" s="5">
        <v>0.05</v>
      </c>
      <c r="J59" s="5">
        <v>0.2</v>
      </c>
      <c r="K59" s="5">
        <v>2</v>
      </c>
      <c r="L59" s="5">
        <v>5</v>
      </c>
      <c r="M59" s="5">
        <v>33</v>
      </c>
      <c r="N59" s="5">
        <v>0.6</v>
      </c>
      <c r="O59" s="5">
        <v>7.89</v>
      </c>
      <c r="P59" s="5">
        <f t="shared" si="0"/>
        <v>0.78899999999999992</v>
      </c>
    </row>
    <row r="60" spans="1:16" x14ac:dyDescent="0.25">
      <c r="A60" s="2" t="s">
        <v>74</v>
      </c>
      <c r="B60" s="5">
        <v>10.8</v>
      </c>
      <c r="C60" s="5">
        <v>8.5</v>
      </c>
      <c r="D60" s="5">
        <v>66.400000000000006</v>
      </c>
      <c r="E60" s="5">
        <v>1650</v>
      </c>
      <c r="F60" s="5">
        <v>395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29</v>
      </c>
      <c r="M60" s="5">
        <v>98</v>
      </c>
      <c r="N60" s="5">
        <v>2</v>
      </c>
      <c r="O60" s="5">
        <v>7.17</v>
      </c>
      <c r="P60" s="5">
        <f t="shared" si="0"/>
        <v>0.71699999999999997</v>
      </c>
    </row>
    <row r="61" spans="1:16" x14ac:dyDescent="0.25">
      <c r="A61" s="2" t="s">
        <v>75</v>
      </c>
      <c r="B61" s="5">
        <v>16.7</v>
      </c>
      <c r="C61" s="5">
        <v>30.4</v>
      </c>
      <c r="D61" s="5">
        <v>47.2</v>
      </c>
      <c r="E61" s="5">
        <v>2280</v>
      </c>
      <c r="F61" s="5">
        <v>545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5.84</v>
      </c>
      <c r="P61" s="5">
        <f t="shared" si="0"/>
        <v>0.58399999999999996</v>
      </c>
    </row>
    <row r="62" spans="1:16" x14ac:dyDescent="0.25">
      <c r="A62" s="2" t="s">
        <v>76</v>
      </c>
      <c r="B62" s="5">
        <v>23.6</v>
      </c>
      <c r="C62" s="5">
        <v>20.2</v>
      </c>
      <c r="D62" s="5">
        <v>40.200000000000003</v>
      </c>
      <c r="E62" s="5">
        <v>1880</v>
      </c>
      <c r="F62" s="5">
        <v>449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18.46</v>
      </c>
      <c r="P62" s="5">
        <f t="shared" si="0"/>
        <v>1.8460000000000001</v>
      </c>
    </row>
    <row r="63" spans="1:16" x14ac:dyDescent="0.25">
      <c r="A63" s="2" t="s">
        <v>77</v>
      </c>
      <c r="B63" s="5">
        <v>0</v>
      </c>
      <c r="C63" s="5">
        <v>0</v>
      </c>
      <c r="D63" s="5">
        <v>96</v>
      </c>
      <c r="E63" s="5">
        <v>1670</v>
      </c>
      <c r="F63" s="5">
        <v>398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4.6900000000000004</v>
      </c>
      <c r="P63" s="5">
        <f t="shared" ref="P63:P108" si="1">O63/10</f>
        <v>0.46900000000000003</v>
      </c>
    </row>
    <row r="64" spans="1:16" x14ac:dyDescent="0.25">
      <c r="A64" s="2" t="s">
        <v>78</v>
      </c>
      <c r="B64" s="5">
        <v>2.1</v>
      </c>
      <c r="C64" s="5">
        <v>8</v>
      </c>
      <c r="D64" s="5">
        <v>71.8</v>
      </c>
      <c r="E64" s="5">
        <v>1580</v>
      </c>
      <c r="F64" s="5">
        <v>378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9.99</v>
      </c>
      <c r="P64" s="5">
        <f t="shared" si="1"/>
        <v>0.999</v>
      </c>
    </row>
    <row r="65" spans="1:16" x14ac:dyDescent="0.25">
      <c r="A65" s="2" t="s">
        <v>79</v>
      </c>
      <c r="B65" s="5">
        <v>0</v>
      </c>
      <c r="C65" s="5">
        <v>0</v>
      </c>
      <c r="D65" s="5">
        <v>78</v>
      </c>
      <c r="E65" s="5">
        <v>1360</v>
      </c>
      <c r="F65" s="5">
        <v>324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7</v>
      </c>
      <c r="P65" s="5">
        <f t="shared" si="1"/>
        <v>0.7</v>
      </c>
    </row>
    <row r="66" spans="1:16" x14ac:dyDescent="0.25">
      <c r="A66" s="2" t="s">
        <v>80</v>
      </c>
      <c r="B66" s="5">
        <v>5.0999999999999996</v>
      </c>
      <c r="C66" s="5">
        <v>33.1</v>
      </c>
      <c r="D66" s="5">
        <v>58.9</v>
      </c>
      <c r="E66" s="5">
        <v>2390</v>
      </c>
      <c r="F66" s="5">
        <v>570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49</v>
      </c>
      <c r="M66" s="5">
        <v>225</v>
      </c>
      <c r="N66" s="5">
        <v>2.2000000000000002</v>
      </c>
      <c r="O66" s="5">
        <v>11.9</v>
      </c>
      <c r="P66" s="5">
        <f t="shared" si="1"/>
        <v>1.19</v>
      </c>
    </row>
    <row r="67" spans="1:16" x14ac:dyDescent="0.25">
      <c r="A67" s="2" t="s">
        <v>81</v>
      </c>
      <c r="B67" s="5">
        <v>2</v>
      </c>
      <c r="C67" s="5">
        <v>91</v>
      </c>
      <c r="D67" s="5">
        <v>0</v>
      </c>
      <c r="E67" s="5">
        <v>3560</v>
      </c>
      <c r="F67" s="5">
        <v>854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7.99</v>
      </c>
      <c r="P67" s="5">
        <f>O67/10</f>
        <v>0.79900000000000004</v>
      </c>
    </row>
    <row r="68" spans="1:16" x14ac:dyDescent="0.25">
      <c r="A68" s="2" t="s">
        <v>82</v>
      </c>
      <c r="B68" s="5">
        <v>0</v>
      </c>
      <c r="C68" s="5">
        <v>99.7</v>
      </c>
      <c r="D68" s="5">
        <v>0</v>
      </c>
      <c r="E68" s="5">
        <v>3880</v>
      </c>
      <c r="F68" s="5">
        <v>927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4.45</v>
      </c>
      <c r="P68" s="5">
        <f>O68/10</f>
        <v>0.44500000000000001</v>
      </c>
    </row>
    <row r="69" spans="1:16" x14ac:dyDescent="0.25">
      <c r="A69" s="2" t="s">
        <v>83</v>
      </c>
      <c r="B69" s="5">
        <v>0</v>
      </c>
      <c r="C69" s="5">
        <v>99.5</v>
      </c>
      <c r="D69" s="5">
        <v>0</v>
      </c>
      <c r="E69" s="5">
        <v>3870</v>
      </c>
      <c r="F69" s="5">
        <v>925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2.38</v>
      </c>
      <c r="P69" s="5">
        <f t="shared" si="1"/>
        <v>0.23799999999999999</v>
      </c>
    </row>
    <row r="70" spans="1:16" x14ac:dyDescent="0.25">
      <c r="A70" s="2" t="s">
        <v>84</v>
      </c>
      <c r="B70" s="5">
        <v>0</v>
      </c>
      <c r="C70" s="5">
        <v>99.8</v>
      </c>
      <c r="D70" s="5">
        <v>0</v>
      </c>
      <c r="E70" s="5">
        <v>3890</v>
      </c>
      <c r="F70" s="5">
        <v>928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6.45</v>
      </c>
      <c r="P70" s="5">
        <f t="shared" si="1"/>
        <v>0.64500000000000002</v>
      </c>
    </row>
    <row r="71" spans="1:16" x14ac:dyDescent="0.25">
      <c r="A71" s="2" t="s">
        <v>85</v>
      </c>
      <c r="B71" s="5">
        <v>0.5</v>
      </c>
      <c r="C71" s="5">
        <v>82</v>
      </c>
      <c r="D71" s="5">
        <v>0.4</v>
      </c>
      <c r="E71" s="5">
        <v>3210</v>
      </c>
      <c r="F71" s="5">
        <v>766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3.31</v>
      </c>
      <c r="P71" s="5">
        <f t="shared" si="1"/>
        <v>0.33100000000000002</v>
      </c>
    </row>
    <row r="72" spans="1:16" x14ac:dyDescent="0.25">
      <c r="A72" s="2" t="s">
        <v>86</v>
      </c>
      <c r="B72" s="5">
        <v>0</v>
      </c>
      <c r="C72" s="5">
        <v>99.8</v>
      </c>
      <c r="D72" s="5">
        <v>0</v>
      </c>
      <c r="E72" s="5">
        <v>3890</v>
      </c>
      <c r="F72" s="5">
        <v>928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3.99</v>
      </c>
      <c r="P72" s="5">
        <f t="shared" si="1"/>
        <v>0.39900000000000002</v>
      </c>
    </row>
    <row r="73" spans="1:16" x14ac:dyDescent="0.25">
      <c r="A73" s="2" t="s">
        <v>87</v>
      </c>
      <c r="B73" s="5">
        <v>3.3</v>
      </c>
      <c r="C73" s="5">
        <v>3.7</v>
      </c>
      <c r="D73" s="5">
        <v>4.7</v>
      </c>
      <c r="E73" s="5">
        <v>281</v>
      </c>
      <c r="F73" s="5">
        <v>67</v>
      </c>
      <c r="G73" s="5">
        <v>0.05</v>
      </c>
      <c r="H73" s="5">
        <v>0.05</v>
      </c>
      <c r="I73" s="5">
        <v>0.19</v>
      </c>
      <c r="J73" s="5">
        <v>0.1</v>
      </c>
      <c r="K73" s="5">
        <v>1</v>
      </c>
      <c r="L73" s="5">
        <v>120</v>
      </c>
      <c r="M73" s="5">
        <v>95</v>
      </c>
      <c r="N73" s="5">
        <v>0.1</v>
      </c>
      <c r="O73" s="5">
        <v>0.99</v>
      </c>
      <c r="P73" s="5">
        <f t="shared" si="1"/>
        <v>9.9000000000000005E-2</v>
      </c>
    </row>
    <row r="74" spans="1:16" x14ac:dyDescent="0.25">
      <c r="A74" s="2" t="s">
        <v>88</v>
      </c>
      <c r="B74" s="5">
        <v>3.5</v>
      </c>
      <c r="C74" s="5">
        <v>4</v>
      </c>
      <c r="D74" s="5">
        <v>4.5</v>
      </c>
      <c r="E74" s="5">
        <v>293</v>
      </c>
      <c r="F74" s="5">
        <v>70</v>
      </c>
      <c r="G74" s="5">
        <v>0.05</v>
      </c>
      <c r="H74" s="5">
        <v>0.04</v>
      </c>
      <c r="I74" s="5">
        <v>0.18</v>
      </c>
      <c r="J74" s="5">
        <v>0.3</v>
      </c>
      <c r="K74" s="5">
        <v>3</v>
      </c>
      <c r="L74" s="5">
        <v>147</v>
      </c>
      <c r="M74" s="5">
        <v>126</v>
      </c>
      <c r="N74" s="5">
        <v>0.1</v>
      </c>
      <c r="O74" s="5">
        <v>4.38</v>
      </c>
      <c r="P74" s="5">
        <f t="shared" si="1"/>
        <v>0.438</v>
      </c>
    </row>
    <row r="75" spans="1:16" x14ac:dyDescent="0.25">
      <c r="A75" s="2" t="s">
        <v>89</v>
      </c>
      <c r="B75" s="5">
        <v>12</v>
      </c>
      <c r="C75" s="5">
        <v>8.5</v>
      </c>
      <c r="D75" s="5">
        <v>3.3</v>
      </c>
      <c r="E75" s="5">
        <v>423</v>
      </c>
      <c r="F75" s="5">
        <v>141</v>
      </c>
      <c r="G75" s="5">
        <v>0</v>
      </c>
      <c r="H75" s="5">
        <v>0</v>
      </c>
      <c r="I75" s="5">
        <v>0.5</v>
      </c>
      <c r="J75" s="5">
        <v>0</v>
      </c>
      <c r="K75" s="5">
        <v>0</v>
      </c>
      <c r="L75" s="5">
        <v>140</v>
      </c>
      <c r="M75" s="5">
        <v>130</v>
      </c>
      <c r="N75" s="5">
        <v>0</v>
      </c>
      <c r="O75" s="5">
        <v>4.17</v>
      </c>
      <c r="P75" s="5">
        <f t="shared" si="1"/>
        <v>0.41699999999999998</v>
      </c>
    </row>
    <row r="76" spans="1:16" x14ac:dyDescent="0.25">
      <c r="A76" s="2" t="s">
        <v>90</v>
      </c>
      <c r="B76" s="5">
        <v>13.6</v>
      </c>
      <c r="C76" s="5">
        <v>0.5</v>
      </c>
      <c r="D76" s="5">
        <v>3.5</v>
      </c>
      <c r="E76" s="5">
        <v>314</v>
      </c>
      <c r="F76" s="5">
        <v>75</v>
      </c>
      <c r="G76" s="5">
        <v>0</v>
      </c>
      <c r="H76" s="5">
        <v>0</v>
      </c>
      <c r="I76" s="5">
        <v>0.5</v>
      </c>
      <c r="J76" s="5">
        <v>0</v>
      </c>
      <c r="K76" s="5">
        <v>0</v>
      </c>
      <c r="L76" s="5">
        <v>164</v>
      </c>
      <c r="M76" s="5">
        <v>151</v>
      </c>
      <c r="N76" s="5">
        <v>0</v>
      </c>
      <c r="O76" s="5">
        <v>4.17</v>
      </c>
      <c r="P76" s="5">
        <f t="shared" si="1"/>
        <v>0.41699999999999998</v>
      </c>
    </row>
    <row r="77" spans="1:16" x14ac:dyDescent="0.25">
      <c r="A77" s="2" t="s">
        <v>91</v>
      </c>
      <c r="B77" s="5">
        <v>3.3</v>
      </c>
      <c r="C77" s="5">
        <v>3.7</v>
      </c>
      <c r="D77" s="5">
        <v>3.6</v>
      </c>
      <c r="E77" s="5">
        <v>281</v>
      </c>
      <c r="F77" s="5">
        <v>67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120</v>
      </c>
      <c r="M77" s="5">
        <v>95</v>
      </c>
      <c r="N77" s="5">
        <v>0.1</v>
      </c>
      <c r="O77" s="5">
        <v>1.19</v>
      </c>
      <c r="P77" s="5">
        <f t="shared" si="1"/>
        <v>0.11899999999999999</v>
      </c>
    </row>
    <row r="78" spans="1:16" x14ac:dyDescent="0.25">
      <c r="A78" s="2" t="s">
        <v>92</v>
      </c>
      <c r="B78" s="5">
        <v>2</v>
      </c>
      <c r="C78" s="5">
        <v>32.9</v>
      </c>
      <c r="D78" s="5">
        <v>3</v>
      </c>
      <c r="E78" s="5">
        <v>1360</v>
      </c>
      <c r="F78" s="5">
        <v>326</v>
      </c>
      <c r="G78" s="5">
        <v>0.3</v>
      </c>
      <c r="H78" s="5">
        <v>0.05</v>
      </c>
      <c r="I78" s="5">
        <v>0</v>
      </c>
      <c r="J78" s="5">
        <v>0</v>
      </c>
      <c r="K78" s="5">
        <v>0</v>
      </c>
      <c r="L78" s="5">
        <v>52</v>
      </c>
      <c r="M78" s="5">
        <v>55</v>
      </c>
      <c r="N78" s="5">
        <v>0.1</v>
      </c>
      <c r="O78" s="5">
        <v>5.98</v>
      </c>
      <c r="P78" s="5">
        <f t="shared" si="1"/>
        <v>0.59800000000000009</v>
      </c>
    </row>
    <row r="79" spans="1:16" x14ac:dyDescent="0.25">
      <c r="A79" s="2" t="s">
        <v>93</v>
      </c>
      <c r="B79" s="5">
        <v>2.5</v>
      </c>
      <c r="C79" s="5">
        <v>30</v>
      </c>
      <c r="D79" s="5">
        <v>2.5</v>
      </c>
      <c r="E79" s="5">
        <v>1264</v>
      </c>
      <c r="F79" s="5">
        <v>302</v>
      </c>
      <c r="G79" s="5">
        <v>0.3</v>
      </c>
      <c r="H79" s="5">
        <v>0.05</v>
      </c>
      <c r="I79" s="5">
        <v>0</v>
      </c>
      <c r="J79" s="5">
        <v>0</v>
      </c>
      <c r="K79" s="5">
        <v>0</v>
      </c>
      <c r="L79" s="5">
        <v>86</v>
      </c>
      <c r="M79" s="5">
        <v>68</v>
      </c>
      <c r="N79" s="5">
        <v>0.1</v>
      </c>
      <c r="O79" s="5">
        <v>3.53</v>
      </c>
      <c r="P79" s="5">
        <f t="shared" si="1"/>
        <v>0.35299999999999998</v>
      </c>
    </row>
    <row r="80" spans="1:16" x14ac:dyDescent="0.25">
      <c r="A80" s="2" t="s">
        <v>94</v>
      </c>
      <c r="B80" s="5">
        <v>3.4</v>
      </c>
      <c r="C80" s="5">
        <v>9.4</v>
      </c>
      <c r="D80" s="5">
        <v>18.5</v>
      </c>
      <c r="E80" s="5">
        <v>741</v>
      </c>
      <c r="F80" s="5">
        <v>177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137</v>
      </c>
      <c r="M80" s="5">
        <v>82</v>
      </c>
      <c r="N80" s="5">
        <v>0.1</v>
      </c>
      <c r="O80" s="5">
        <v>5.38</v>
      </c>
      <c r="P80" s="5">
        <f t="shared" si="1"/>
        <v>0.53800000000000003</v>
      </c>
    </row>
    <row r="81" spans="1:16" x14ac:dyDescent="0.25">
      <c r="A81" s="2" t="s">
        <v>95</v>
      </c>
      <c r="B81" s="5">
        <v>3.3</v>
      </c>
      <c r="C81" s="5">
        <v>3.7</v>
      </c>
      <c r="D81" s="5">
        <v>3.9</v>
      </c>
      <c r="E81" s="5">
        <v>281</v>
      </c>
      <c r="F81" s="5">
        <v>67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120</v>
      </c>
      <c r="M81" s="5">
        <v>95</v>
      </c>
      <c r="N81" s="5">
        <v>0.1</v>
      </c>
      <c r="O81" s="5">
        <v>2.73</v>
      </c>
      <c r="P81" s="5">
        <f t="shared" si="1"/>
        <v>0.27300000000000002</v>
      </c>
    </row>
    <row r="82" spans="1:16" x14ac:dyDescent="0.25">
      <c r="A82" s="2" t="s">
        <v>125</v>
      </c>
      <c r="B82" s="5">
        <v>21</v>
      </c>
      <c r="C82" s="5">
        <v>23.9</v>
      </c>
      <c r="D82" s="5">
        <v>1.9</v>
      </c>
      <c r="E82" s="5">
        <v>1320</v>
      </c>
      <c r="F82" s="5">
        <v>316</v>
      </c>
      <c r="G82" s="5">
        <v>0.18</v>
      </c>
      <c r="H82" s="5">
        <v>0.15</v>
      </c>
      <c r="I82" s="5">
        <v>0.51</v>
      </c>
      <c r="J82" s="5">
        <v>0</v>
      </c>
      <c r="K82" s="5">
        <v>0</v>
      </c>
      <c r="L82" s="5">
        <v>808</v>
      </c>
      <c r="M82" s="5">
        <v>457</v>
      </c>
      <c r="N82" s="5">
        <v>0</v>
      </c>
      <c r="O82" s="5">
        <v>11.19</v>
      </c>
      <c r="P82" s="5">
        <f t="shared" si="1"/>
        <v>1.119</v>
      </c>
    </row>
    <row r="83" spans="1:16" x14ac:dyDescent="0.25">
      <c r="A83" s="2" t="s">
        <v>96</v>
      </c>
      <c r="B83" s="5">
        <v>18.7</v>
      </c>
      <c r="C83" s="5">
        <v>17.100000000000001</v>
      </c>
      <c r="D83" s="5">
        <v>1.8</v>
      </c>
      <c r="E83" s="5">
        <v>1020</v>
      </c>
      <c r="F83" s="5">
        <v>243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601</v>
      </c>
      <c r="M83" s="5">
        <v>381</v>
      </c>
      <c r="N83" s="5">
        <v>0</v>
      </c>
      <c r="O83" s="5">
        <v>8.9499999999999993</v>
      </c>
      <c r="P83" s="5">
        <f t="shared" si="1"/>
        <v>0.89499999999999991</v>
      </c>
    </row>
    <row r="84" spans="1:16" x14ac:dyDescent="0.25">
      <c r="A84" s="2" t="s">
        <v>97</v>
      </c>
      <c r="B84" s="5">
        <v>0.5</v>
      </c>
      <c r="C84" s="5">
        <v>83.5</v>
      </c>
      <c r="D84" s="5">
        <v>0.5</v>
      </c>
      <c r="E84" s="5">
        <v>3270</v>
      </c>
      <c r="F84" s="5">
        <v>781</v>
      </c>
      <c r="G84" s="5">
        <v>0.6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8.9499999999999993</v>
      </c>
      <c r="P84" s="5">
        <f t="shared" si="1"/>
        <v>0.89499999999999991</v>
      </c>
    </row>
    <row r="85" spans="1:16" x14ac:dyDescent="0.25">
      <c r="A85" s="2" t="s">
        <v>98</v>
      </c>
      <c r="B85" s="5">
        <v>0</v>
      </c>
      <c r="C85" s="5">
        <v>99.5</v>
      </c>
      <c r="D85" s="5">
        <v>0</v>
      </c>
      <c r="E85" s="5">
        <v>3990</v>
      </c>
      <c r="F85" s="5">
        <v>925</v>
      </c>
      <c r="G85" s="5">
        <v>0.6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15.98</v>
      </c>
      <c r="P85" s="5">
        <f t="shared" si="1"/>
        <v>1.5980000000000001</v>
      </c>
    </row>
    <row r="86" spans="1:16" x14ac:dyDescent="0.25">
      <c r="A86" s="2" t="s">
        <v>99</v>
      </c>
      <c r="B86" s="5">
        <v>14.5</v>
      </c>
      <c r="C86" s="5">
        <v>37.299999999999997</v>
      </c>
      <c r="D86" s="5">
        <v>0</v>
      </c>
      <c r="E86" s="5">
        <v>1700</v>
      </c>
      <c r="F86" s="5">
        <v>406</v>
      </c>
      <c r="G86" s="5">
        <v>0</v>
      </c>
      <c r="H86" s="5">
        <v>0.93</v>
      </c>
      <c r="I86" s="5">
        <v>0.16</v>
      </c>
      <c r="J86" s="5">
        <v>2.7</v>
      </c>
      <c r="K86" s="5">
        <v>0</v>
      </c>
      <c r="L86" s="5">
        <v>8</v>
      </c>
      <c r="M86" s="5">
        <v>156</v>
      </c>
      <c r="N86" s="5">
        <v>2.2000000000000002</v>
      </c>
      <c r="O86" s="5">
        <v>5.49</v>
      </c>
      <c r="P86" s="5">
        <f t="shared" si="1"/>
        <v>0.54900000000000004</v>
      </c>
    </row>
    <row r="87" spans="1:16" x14ac:dyDescent="0.25">
      <c r="A87" s="2" t="s">
        <v>100</v>
      </c>
      <c r="B87" s="5">
        <v>16.5</v>
      </c>
      <c r="C87" s="5">
        <v>21.5</v>
      </c>
      <c r="D87" s="5">
        <v>0</v>
      </c>
      <c r="E87" s="5">
        <v>1120</v>
      </c>
      <c r="F87" s="5">
        <v>268</v>
      </c>
      <c r="G87" s="5">
        <v>0</v>
      </c>
      <c r="H87" s="5">
        <v>0.93</v>
      </c>
      <c r="I87" s="5">
        <v>0.16</v>
      </c>
      <c r="J87" s="5">
        <v>2.7</v>
      </c>
      <c r="K87" s="5">
        <v>0</v>
      </c>
      <c r="L87" s="5">
        <v>9</v>
      </c>
      <c r="M87" s="5">
        <v>178</v>
      </c>
      <c r="N87" s="5">
        <v>2.5</v>
      </c>
      <c r="O87" s="5">
        <v>6.99</v>
      </c>
      <c r="P87" s="5">
        <f t="shared" si="1"/>
        <v>0.69900000000000007</v>
      </c>
    </row>
    <row r="88" spans="1:16" x14ac:dyDescent="0.25">
      <c r="A88" s="2" t="s">
        <v>101</v>
      </c>
      <c r="B88" s="5">
        <v>18</v>
      </c>
      <c r="C88" s="5">
        <v>10.5</v>
      </c>
      <c r="D88" s="5">
        <v>0</v>
      </c>
      <c r="E88" s="5">
        <v>720</v>
      </c>
      <c r="F88" s="5">
        <v>171</v>
      </c>
      <c r="G88" s="5">
        <v>0.01</v>
      </c>
      <c r="H88" s="5">
        <v>0.1</v>
      </c>
      <c r="I88" s="5">
        <v>0.17</v>
      </c>
      <c r="J88" s="5">
        <v>4.2</v>
      </c>
      <c r="K88" s="5">
        <v>0</v>
      </c>
      <c r="L88" s="5">
        <v>10</v>
      </c>
      <c r="M88" s="5">
        <v>194</v>
      </c>
      <c r="N88" s="5">
        <v>2.7</v>
      </c>
      <c r="O88" s="5">
        <v>13.28</v>
      </c>
      <c r="P88" s="5">
        <f t="shared" si="1"/>
        <v>1.3279999999999998</v>
      </c>
    </row>
    <row r="89" spans="1:16" x14ac:dyDescent="0.25">
      <c r="A89" s="2" t="s">
        <v>102</v>
      </c>
      <c r="B89" s="5">
        <v>4.5999999999999996</v>
      </c>
      <c r="C89" s="5">
        <v>23.9</v>
      </c>
      <c r="D89" s="5">
        <v>0</v>
      </c>
      <c r="E89" s="5">
        <v>1010</v>
      </c>
      <c r="F89" s="5">
        <v>241</v>
      </c>
      <c r="G89" s="5">
        <v>0.13</v>
      </c>
      <c r="H89" s="5">
        <v>0.15</v>
      </c>
      <c r="I89" s="5">
        <v>0.09</v>
      </c>
      <c r="J89" s="5">
        <v>2.7</v>
      </c>
      <c r="K89" s="5">
        <v>0</v>
      </c>
      <c r="L89" s="5">
        <v>6</v>
      </c>
      <c r="M89" s="5">
        <v>0</v>
      </c>
      <c r="N89" s="5">
        <v>0.8</v>
      </c>
      <c r="O89" s="5">
        <v>16.149999999999999</v>
      </c>
      <c r="P89" s="5">
        <f t="shared" si="1"/>
        <v>1.6149999999999998</v>
      </c>
    </row>
    <row r="90" spans="1:16" x14ac:dyDescent="0.25">
      <c r="A90" s="2" t="s">
        <v>103</v>
      </c>
      <c r="B90" s="5">
        <v>19</v>
      </c>
      <c r="C90" s="5">
        <v>7.5</v>
      </c>
      <c r="D90" s="5">
        <v>0</v>
      </c>
      <c r="E90" s="5">
        <v>620</v>
      </c>
      <c r="F90" s="5">
        <v>147</v>
      </c>
      <c r="G90" s="5">
        <v>0.01</v>
      </c>
      <c r="H90" s="5">
        <v>0.23</v>
      </c>
      <c r="I90" s="5">
        <v>0.25</v>
      </c>
      <c r="J90" s="5">
        <v>6.2</v>
      </c>
      <c r="K90" s="5">
        <v>0</v>
      </c>
      <c r="L90" s="5">
        <v>8</v>
      </c>
      <c r="M90" s="5">
        <v>188</v>
      </c>
      <c r="N90" s="5">
        <v>1.7</v>
      </c>
      <c r="O90" s="5">
        <v>19.989999999999998</v>
      </c>
      <c r="P90" s="5">
        <f t="shared" si="1"/>
        <v>1.9989999999999999</v>
      </c>
    </row>
    <row r="91" spans="1:16" x14ac:dyDescent="0.25">
      <c r="A91" s="2" t="s">
        <v>104</v>
      </c>
      <c r="B91" s="5">
        <v>8.8000000000000007</v>
      </c>
      <c r="C91" s="5">
        <v>7.2</v>
      </c>
      <c r="D91" s="5">
        <v>0</v>
      </c>
      <c r="E91" s="5">
        <v>440</v>
      </c>
      <c r="F91" s="5">
        <v>104</v>
      </c>
      <c r="G91" s="5">
        <v>0.09</v>
      </c>
      <c r="H91" s="5">
        <v>0.03</v>
      </c>
      <c r="I91" s="5">
        <v>0.04</v>
      </c>
      <c r="J91" s="5">
        <v>3.6</v>
      </c>
      <c r="K91" s="5">
        <v>0</v>
      </c>
      <c r="L91" s="5">
        <v>12</v>
      </c>
      <c r="M91" s="5">
        <v>155</v>
      </c>
      <c r="N91" s="5">
        <v>1.5</v>
      </c>
      <c r="O91" s="5">
        <v>7.98</v>
      </c>
      <c r="P91" s="5">
        <f t="shared" si="1"/>
        <v>0.79800000000000004</v>
      </c>
    </row>
    <row r="92" spans="1:16" x14ac:dyDescent="0.25">
      <c r="A92" s="2" t="s">
        <v>105</v>
      </c>
      <c r="B92" s="5">
        <v>12.7</v>
      </c>
      <c r="C92" s="5">
        <v>5.3</v>
      </c>
      <c r="D92" s="5">
        <v>0</v>
      </c>
      <c r="E92" s="5">
        <v>420</v>
      </c>
      <c r="F92" s="5">
        <v>101</v>
      </c>
      <c r="G92" s="5">
        <v>0</v>
      </c>
      <c r="H92" s="5">
        <v>0.05</v>
      </c>
      <c r="I92" s="5">
        <v>0.04</v>
      </c>
      <c r="J92" s="5">
        <v>5.3</v>
      </c>
      <c r="K92" s="5">
        <v>0</v>
      </c>
      <c r="L92" s="5">
        <v>15</v>
      </c>
      <c r="M92" s="5">
        <v>157</v>
      </c>
      <c r="N92" s="5">
        <v>1.1000000000000001</v>
      </c>
      <c r="O92" s="5">
        <v>6.73</v>
      </c>
      <c r="P92" s="5">
        <f t="shared" si="1"/>
        <v>0.67300000000000004</v>
      </c>
    </row>
    <row r="93" spans="1:16" x14ac:dyDescent="0.25">
      <c r="A93" s="2" t="s">
        <v>106</v>
      </c>
      <c r="B93" s="5">
        <v>8.9</v>
      </c>
      <c r="C93" s="5">
        <v>6.4</v>
      </c>
      <c r="D93" s="5">
        <v>0</v>
      </c>
      <c r="E93" s="5">
        <v>400</v>
      </c>
      <c r="F93" s="5">
        <v>96</v>
      </c>
      <c r="G93" s="5">
        <v>0.06</v>
      </c>
      <c r="H93" s="5">
        <v>0.08</v>
      </c>
      <c r="I93" s="5">
        <v>0.08</v>
      </c>
      <c r="J93" s="5">
        <v>4.2</v>
      </c>
      <c r="K93" s="5">
        <v>0</v>
      </c>
      <c r="L93" s="5">
        <v>6</v>
      </c>
      <c r="M93" s="5">
        <v>99</v>
      </c>
      <c r="N93" s="5">
        <v>0.8</v>
      </c>
      <c r="O93" s="5">
        <v>6.78</v>
      </c>
      <c r="P93" s="5">
        <f t="shared" si="1"/>
        <v>0.67800000000000005</v>
      </c>
    </row>
    <row r="94" spans="1:16" x14ac:dyDescent="0.25">
      <c r="A94" s="2" t="s">
        <v>107</v>
      </c>
      <c r="B94" s="5">
        <v>12.4</v>
      </c>
      <c r="C94" s="5">
        <v>19.399999999999999</v>
      </c>
      <c r="D94" s="5">
        <v>0.4</v>
      </c>
      <c r="E94" s="5">
        <v>980</v>
      </c>
      <c r="F94" s="5">
        <v>233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7</v>
      </c>
      <c r="M94" s="5">
        <v>134</v>
      </c>
      <c r="N94" s="5">
        <v>1.9</v>
      </c>
      <c r="O94" s="5">
        <v>4.99</v>
      </c>
      <c r="P94" s="5">
        <f t="shared" si="1"/>
        <v>0.499</v>
      </c>
    </row>
    <row r="95" spans="1:16" x14ac:dyDescent="0.25">
      <c r="A95" s="2" t="s">
        <v>108</v>
      </c>
      <c r="B95" s="5">
        <v>18.8</v>
      </c>
      <c r="C95" s="5">
        <v>3.6</v>
      </c>
      <c r="D95" s="5">
        <v>0</v>
      </c>
      <c r="E95" s="5">
        <v>540</v>
      </c>
      <c r="F95" s="5">
        <v>130</v>
      </c>
      <c r="G95" s="5">
        <v>6</v>
      </c>
      <c r="H95" s="5">
        <v>0.4</v>
      </c>
      <c r="I95" s="5">
        <v>0</v>
      </c>
      <c r="J95" s="5">
        <v>0</v>
      </c>
      <c r="K95" s="5">
        <v>0</v>
      </c>
      <c r="L95" s="5">
        <v>7</v>
      </c>
      <c r="M95" s="5">
        <v>353</v>
      </c>
      <c r="N95" s="5">
        <v>12</v>
      </c>
      <c r="O95" s="5">
        <v>2.48</v>
      </c>
      <c r="P95" s="5">
        <f t="shared" si="1"/>
        <v>0.248</v>
      </c>
    </row>
    <row r="96" spans="1:16" x14ac:dyDescent="0.25">
      <c r="A96" s="2" t="s">
        <v>109</v>
      </c>
      <c r="B96" s="5">
        <v>13.7</v>
      </c>
      <c r="C96" s="5">
        <v>27.9</v>
      </c>
      <c r="D96" s="5">
        <v>0</v>
      </c>
      <c r="E96" s="5">
        <v>1320</v>
      </c>
      <c r="F96" s="5">
        <v>316</v>
      </c>
      <c r="G96" s="5">
        <v>0</v>
      </c>
      <c r="H96" s="5">
        <v>0.34</v>
      </c>
      <c r="I96" s="5">
        <v>0</v>
      </c>
      <c r="J96" s="5">
        <v>0</v>
      </c>
      <c r="K96" s="5">
        <v>0</v>
      </c>
      <c r="L96" s="5">
        <v>7</v>
      </c>
      <c r="M96" s="5">
        <v>139</v>
      </c>
      <c r="N96" s="5">
        <v>1.9</v>
      </c>
      <c r="O96" s="5">
        <v>4.5999999999999996</v>
      </c>
      <c r="P96" s="5">
        <f t="shared" si="1"/>
        <v>0.45999999999999996</v>
      </c>
    </row>
    <row r="97" spans="1:16" x14ac:dyDescent="0.25">
      <c r="A97" s="2" t="s">
        <v>110</v>
      </c>
      <c r="B97" s="5">
        <v>17.7</v>
      </c>
      <c r="C97" s="5">
        <v>38.1</v>
      </c>
      <c r="D97" s="5">
        <v>0</v>
      </c>
      <c r="E97" s="5">
        <v>1790</v>
      </c>
      <c r="F97" s="5">
        <v>427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65</v>
      </c>
      <c r="M97" s="5">
        <v>178</v>
      </c>
      <c r="N97" s="5">
        <v>5.3</v>
      </c>
      <c r="O97" s="5">
        <v>11.99</v>
      </c>
      <c r="P97" s="5">
        <f t="shared" si="1"/>
        <v>1.1990000000000001</v>
      </c>
    </row>
    <row r="98" spans="1:16" x14ac:dyDescent="0.25">
      <c r="A98" s="2" t="s">
        <v>111</v>
      </c>
      <c r="B98" s="5">
        <v>17.399999999999999</v>
      </c>
      <c r="C98" s="5">
        <v>3.1</v>
      </c>
      <c r="D98" s="5">
        <v>0</v>
      </c>
      <c r="E98" s="5">
        <v>510</v>
      </c>
      <c r="F98" s="5">
        <v>122</v>
      </c>
      <c r="G98" s="5">
        <v>15</v>
      </c>
      <c r="H98" s="5">
        <v>0.4</v>
      </c>
      <c r="I98" s="5">
        <v>1.61</v>
      </c>
      <c r="J98" s="5">
        <v>15.3</v>
      </c>
      <c r="K98" s="5">
        <v>25</v>
      </c>
      <c r="L98" s="5">
        <v>5</v>
      </c>
      <c r="M98" s="5">
        <v>340</v>
      </c>
      <c r="N98" s="5">
        <v>9</v>
      </c>
      <c r="O98" s="5">
        <v>2.99</v>
      </c>
      <c r="P98" s="5">
        <f t="shared" si="1"/>
        <v>0.29900000000000004</v>
      </c>
    </row>
    <row r="99" spans="1:16" x14ac:dyDescent="0.25">
      <c r="A99" s="2" t="s">
        <v>112</v>
      </c>
      <c r="B99" s="5">
        <v>17</v>
      </c>
      <c r="C99" s="5">
        <v>35</v>
      </c>
      <c r="D99" s="5">
        <v>0</v>
      </c>
      <c r="E99" s="5">
        <v>1650</v>
      </c>
      <c r="F99" s="5">
        <v>395</v>
      </c>
      <c r="G99" s="5">
        <v>0</v>
      </c>
      <c r="H99" s="5">
        <v>0.7</v>
      </c>
      <c r="I99" s="5">
        <v>0.19</v>
      </c>
      <c r="J99" s="5">
        <v>0</v>
      </c>
      <c r="K99" s="5">
        <v>0</v>
      </c>
      <c r="L99" s="5">
        <v>10</v>
      </c>
      <c r="M99" s="5">
        <v>110</v>
      </c>
      <c r="N99" s="5">
        <v>2.1</v>
      </c>
      <c r="O99" s="5">
        <v>11.9</v>
      </c>
      <c r="P99" s="5">
        <f t="shared" si="1"/>
        <v>1.19</v>
      </c>
    </row>
    <row r="100" spans="1:16" x14ac:dyDescent="0.25">
      <c r="A100" s="2" t="s">
        <v>113</v>
      </c>
      <c r="B100" s="5">
        <v>45</v>
      </c>
      <c r="C100" s="5">
        <v>4.8</v>
      </c>
      <c r="D100" s="5">
        <v>0.2</v>
      </c>
      <c r="E100" s="5">
        <v>266</v>
      </c>
      <c r="F100" s="5">
        <v>63.5</v>
      </c>
      <c r="G100" s="5">
        <v>0.3</v>
      </c>
      <c r="H100" s="5">
        <v>7.0000000000000007E-2</v>
      </c>
      <c r="I100" s="5">
        <v>0.34499999999999997</v>
      </c>
      <c r="J100" s="5">
        <v>0.1</v>
      </c>
      <c r="K100" s="5">
        <v>0</v>
      </c>
      <c r="L100" s="5">
        <v>20</v>
      </c>
      <c r="M100" s="5">
        <v>92</v>
      </c>
      <c r="N100" s="5">
        <v>1.1000000000000001</v>
      </c>
      <c r="O100" s="5">
        <v>4.49</v>
      </c>
      <c r="P100" s="5">
        <f t="shared" si="1"/>
        <v>0.44900000000000001</v>
      </c>
    </row>
    <row r="101" spans="1:16" x14ac:dyDescent="0.25">
      <c r="A101" s="2" t="s">
        <v>114</v>
      </c>
      <c r="B101" s="5">
        <v>44</v>
      </c>
      <c r="C101" s="5">
        <v>42.2</v>
      </c>
      <c r="D101" s="5">
        <v>1.8</v>
      </c>
      <c r="E101" s="5">
        <v>2420</v>
      </c>
      <c r="F101" s="5">
        <v>579</v>
      </c>
      <c r="G101" s="5">
        <v>1.34</v>
      </c>
      <c r="H101" s="5">
        <v>0.35</v>
      </c>
      <c r="I101" s="5">
        <v>1.23</v>
      </c>
      <c r="J101" s="5">
        <v>0.2</v>
      </c>
      <c r="K101" s="5">
        <v>0</v>
      </c>
      <c r="L101" s="5">
        <v>186</v>
      </c>
      <c r="M101" s="5">
        <v>786</v>
      </c>
      <c r="N101" s="5">
        <v>9.3000000000000007</v>
      </c>
      <c r="O101" s="5">
        <v>63.98</v>
      </c>
      <c r="P101" s="5">
        <f t="shared" si="1"/>
        <v>6.3979999999999997</v>
      </c>
    </row>
    <row r="102" spans="1:16" x14ac:dyDescent="0.25">
      <c r="A102" s="2" t="s">
        <v>115</v>
      </c>
      <c r="B102" s="5">
        <v>16</v>
      </c>
      <c r="C102" s="5">
        <v>3.6</v>
      </c>
      <c r="D102" s="5">
        <v>0</v>
      </c>
      <c r="E102" s="5">
        <v>414</v>
      </c>
      <c r="F102" s="5">
        <v>99</v>
      </c>
      <c r="G102" s="5">
        <v>0.03</v>
      </c>
      <c r="H102" s="5">
        <v>0.08</v>
      </c>
      <c r="I102" s="5">
        <v>0.21</v>
      </c>
      <c r="J102" s="5">
        <v>2.7</v>
      </c>
      <c r="K102" s="5">
        <v>0</v>
      </c>
      <c r="L102" s="5">
        <v>17</v>
      </c>
      <c r="M102" s="5">
        <v>184</v>
      </c>
      <c r="N102" s="5">
        <v>0.9</v>
      </c>
      <c r="O102" s="5">
        <v>5.99</v>
      </c>
      <c r="P102" s="5">
        <f t="shared" si="1"/>
        <v>0.59899999999999998</v>
      </c>
    </row>
    <row r="103" spans="1:16" x14ac:dyDescent="0.25">
      <c r="A103" s="2" t="s">
        <v>116</v>
      </c>
      <c r="B103" s="5">
        <v>17.600000000000001</v>
      </c>
      <c r="C103" s="5">
        <v>0.4</v>
      </c>
      <c r="D103" s="5">
        <v>0</v>
      </c>
      <c r="E103" s="5">
        <v>318</v>
      </c>
      <c r="F103" s="5">
        <v>76</v>
      </c>
      <c r="G103" s="5">
        <v>0</v>
      </c>
      <c r="H103" s="5">
        <v>0.08</v>
      </c>
      <c r="I103" s="5">
        <v>0.1</v>
      </c>
      <c r="J103" s="5">
        <v>1.5</v>
      </c>
      <c r="K103" s="5">
        <v>0</v>
      </c>
      <c r="L103" s="5">
        <v>57</v>
      </c>
      <c r="M103" s="5">
        <v>222</v>
      </c>
      <c r="N103" s="5">
        <v>0.7</v>
      </c>
      <c r="O103" s="5">
        <v>19.989999999999998</v>
      </c>
      <c r="P103" s="5">
        <f t="shared" si="1"/>
        <v>1.9989999999999999</v>
      </c>
    </row>
    <row r="104" spans="1:16" x14ac:dyDescent="0.25">
      <c r="A104" s="2" t="s">
        <v>117</v>
      </c>
      <c r="B104" s="5">
        <v>19</v>
      </c>
      <c r="C104" s="5">
        <v>0.8</v>
      </c>
      <c r="D104" s="5">
        <v>0</v>
      </c>
      <c r="E104" s="5">
        <v>356</v>
      </c>
      <c r="F104" s="5">
        <v>85</v>
      </c>
      <c r="G104" s="5">
        <v>0</v>
      </c>
      <c r="H104" s="5">
        <v>0.4</v>
      </c>
      <c r="I104" s="5">
        <v>0.11</v>
      </c>
      <c r="J104" s="5">
        <v>0</v>
      </c>
      <c r="K104" s="5">
        <v>0</v>
      </c>
      <c r="L104" s="5">
        <v>27</v>
      </c>
      <c r="M104" s="5">
        <v>219</v>
      </c>
      <c r="N104" s="5">
        <v>1</v>
      </c>
      <c r="O104" s="5">
        <v>15.99</v>
      </c>
      <c r="P104" s="5">
        <f t="shared" si="1"/>
        <v>1.599</v>
      </c>
    </row>
    <row r="105" spans="1:16" x14ac:dyDescent="0.25">
      <c r="A105" s="2" t="s">
        <v>118</v>
      </c>
      <c r="B105" s="5">
        <v>31.6</v>
      </c>
      <c r="C105" s="5">
        <v>13.8</v>
      </c>
      <c r="D105" s="5">
        <v>0</v>
      </c>
      <c r="E105" s="5">
        <v>1080</v>
      </c>
      <c r="F105" s="5">
        <v>258</v>
      </c>
      <c r="G105" s="5">
        <v>0.45</v>
      </c>
      <c r="H105" s="5">
        <v>0</v>
      </c>
      <c r="I105" s="5">
        <v>0</v>
      </c>
      <c r="J105" s="5">
        <v>0</v>
      </c>
      <c r="K105" s="5">
        <v>0</v>
      </c>
      <c r="L105" s="5">
        <v>90</v>
      </c>
      <c r="M105" s="5">
        <v>490</v>
      </c>
      <c r="N105" s="5">
        <v>1.8</v>
      </c>
      <c r="O105" s="5">
        <v>23.96</v>
      </c>
      <c r="P105" s="5">
        <f t="shared" si="1"/>
        <v>2.3959999999999999</v>
      </c>
    </row>
    <row r="106" spans="1:16" x14ac:dyDescent="0.25">
      <c r="A106" s="2" t="s">
        <v>119</v>
      </c>
      <c r="B106" s="5">
        <v>6.3</v>
      </c>
      <c r="C106" s="5">
        <v>4.2</v>
      </c>
      <c r="D106" s="5">
        <v>0</v>
      </c>
      <c r="E106" s="5">
        <v>272</v>
      </c>
      <c r="F106" s="5">
        <v>65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133</v>
      </c>
      <c r="M106" s="5">
        <v>124</v>
      </c>
      <c r="N106" s="5">
        <v>0</v>
      </c>
      <c r="O106" s="5">
        <v>12.75</v>
      </c>
      <c r="P106" s="5">
        <f t="shared" si="1"/>
        <v>1.2749999999999999</v>
      </c>
    </row>
    <row r="107" spans="1:16" x14ac:dyDescent="0.25">
      <c r="A107" s="2" t="s">
        <v>120</v>
      </c>
      <c r="B107" s="5">
        <v>12.4</v>
      </c>
      <c r="C107" s="5">
        <v>13.5</v>
      </c>
      <c r="D107" s="5">
        <v>0</v>
      </c>
      <c r="E107" s="5">
        <v>737</v>
      </c>
      <c r="F107" s="5">
        <v>176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16</v>
      </c>
      <c r="M107" s="5">
        <v>169</v>
      </c>
      <c r="N107" s="5">
        <v>0.8</v>
      </c>
      <c r="O107" s="5">
        <v>25.24</v>
      </c>
      <c r="P107" s="5">
        <f t="shared" si="1"/>
        <v>2.524</v>
      </c>
    </row>
    <row r="108" spans="1:16" x14ac:dyDescent="0.25">
      <c r="A108" s="2" t="s">
        <v>121</v>
      </c>
      <c r="B108" s="5">
        <v>19</v>
      </c>
      <c r="C108" s="5">
        <v>6.2</v>
      </c>
      <c r="D108" s="5">
        <v>0</v>
      </c>
      <c r="E108" s="5">
        <v>565</v>
      </c>
      <c r="F108" s="5">
        <v>135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119</v>
      </c>
      <c r="M108" s="5">
        <v>179</v>
      </c>
      <c r="N108" s="5">
        <v>3.1</v>
      </c>
      <c r="O108" s="5">
        <v>5.0199999999999996</v>
      </c>
      <c r="P108" s="5">
        <f t="shared" si="1"/>
        <v>0.502</v>
      </c>
    </row>
    <row r="109" spans="1:16" x14ac:dyDescent="0.25">
      <c r="A109" s="2" t="s">
        <v>122</v>
      </c>
      <c r="B109" s="5">
        <v>14.7</v>
      </c>
      <c r="C109" s="5">
        <v>30.4</v>
      </c>
      <c r="D109" s="5">
        <v>0.4</v>
      </c>
      <c r="E109" s="5">
        <v>1440</v>
      </c>
      <c r="F109" s="5">
        <v>345</v>
      </c>
      <c r="G109" s="5">
        <v>0</v>
      </c>
      <c r="H109" s="5">
        <v>0</v>
      </c>
      <c r="I109" s="5">
        <v>0.12</v>
      </c>
      <c r="J109" s="5">
        <v>1</v>
      </c>
      <c r="K109" s="5">
        <v>0</v>
      </c>
      <c r="L109" s="5">
        <v>297</v>
      </c>
      <c r="M109" s="5">
        <v>348</v>
      </c>
      <c r="N109" s="5">
        <v>0</v>
      </c>
      <c r="O109" s="5">
        <v>10.06</v>
      </c>
      <c r="P109" s="5">
        <f>O109/10</f>
        <v>1.006</v>
      </c>
    </row>
    <row r="110" spans="1:16" x14ac:dyDescent="0.25">
      <c r="A110" s="3" t="s">
        <v>123</v>
      </c>
      <c r="B110" s="6">
        <v>96</v>
      </c>
      <c r="C110" s="6">
        <v>90</v>
      </c>
      <c r="D110" s="6">
        <v>383</v>
      </c>
      <c r="E110" s="6"/>
      <c r="F110" s="6">
        <v>2400</v>
      </c>
      <c r="G110" s="6" t="s">
        <v>124</v>
      </c>
      <c r="H110" s="6" t="s">
        <v>124</v>
      </c>
      <c r="I110" s="6">
        <v>2</v>
      </c>
      <c r="J110" s="6">
        <v>15</v>
      </c>
      <c r="K110" s="6">
        <v>50</v>
      </c>
      <c r="L110" s="6">
        <v>800</v>
      </c>
      <c r="M110" s="6">
        <v>1000</v>
      </c>
      <c r="N110" s="6">
        <v>15</v>
      </c>
      <c r="P110" s="4"/>
    </row>
  </sheetData>
  <mergeCells count="7">
    <mergeCell ref="P1:P5"/>
    <mergeCell ref="A1:A5"/>
    <mergeCell ref="B1:D4"/>
    <mergeCell ref="E1:F4"/>
    <mergeCell ref="G1:K4"/>
    <mergeCell ref="L1:N4"/>
    <mergeCell ref="O1:O5"/>
  </mergeCells>
  <pageMargins left="0.7" right="0.7" top="0.75" bottom="0.75" header="0.3" footer="0.3"/>
  <pageSetup paperSize="9" orientation="portrait" r:id="rId1"/>
  <ignoredErrors>
    <ignoredError sqref="G110:H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Vineta Minkeviča</dc:creator>
  <cp:lastModifiedBy>Patriks Gustavs Rinkevičs</cp:lastModifiedBy>
  <dcterms:created xsi:type="dcterms:W3CDTF">2018-02-19T11:18:51Z</dcterms:created>
  <dcterms:modified xsi:type="dcterms:W3CDTF">2026-03-12T18:29:24Z</dcterms:modified>
</cp:coreProperties>
</file>